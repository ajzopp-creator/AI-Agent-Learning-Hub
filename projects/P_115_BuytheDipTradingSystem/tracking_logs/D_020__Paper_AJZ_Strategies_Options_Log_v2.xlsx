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Trader\Documents\AJZStrategiesLLC\P_115_BuyTheDip\"/>
    </mc:Choice>
  </mc:AlternateContent>
  <xr:revisionPtr revIDLastSave="0" documentId="13_ncr:1_{3FFB7299-2A16-4A42-8E3B-E59BF9F5F4F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ade_Log" sheetId="1" r:id="rId1"/>
    <sheet name="Dashboard" sheetId="2" r:id="rId2"/>
  </sheets>
  <definedNames>
    <definedName name="_xlnm._FilterDatabase" localSheetId="0" hidden="1">Trade_Log!$A$1:$T$101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0" i="2" l="1"/>
  <c r="L30" i="2"/>
  <c r="I30" i="2"/>
  <c r="F30" i="2"/>
  <c r="C30" i="2"/>
  <c r="O29" i="2"/>
  <c r="L29" i="2"/>
  <c r="I29" i="2"/>
  <c r="F29" i="2"/>
  <c r="C29" i="2"/>
  <c r="O23" i="2"/>
  <c r="L23" i="2"/>
  <c r="I23" i="2"/>
  <c r="F23" i="2"/>
  <c r="C23" i="2"/>
  <c r="O102" i="1"/>
  <c r="K102" i="1"/>
  <c r="O96" i="1"/>
  <c r="K96" i="1"/>
  <c r="T94" i="1"/>
  <c r="S94" i="1"/>
  <c r="Q94" i="1"/>
  <c r="O94" i="1"/>
  <c r="K94" i="1"/>
  <c r="T93" i="1"/>
  <c r="S93" i="1"/>
  <c r="Q93" i="1"/>
  <c r="O93" i="1"/>
  <c r="K93" i="1"/>
  <c r="T92" i="1"/>
  <c r="S92" i="1"/>
  <c r="Q92" i="1"/>
  <c r="O92" i="1"/>
  <c r="K92" i="1"/>
  <c r="T91" i="1"/>
  <c r="S91" i="1"/>
  <c r="Q91" i="1"/>
  <c r="O91" i="1"/>
  <c r="K91" i="1"/>
  <c r="T90" i="1"/>
  <c r="S90" i="1"/>
  <c r="Q90" i="1"/>
  <c r="O90" i="1"/>
  <c r="K90" i="1"/>
  <c r="T89" i="1"/>
  <c r="S89" i="1"/>
  <c r="Q89" i="1"/>
  <c r="O89" i="1"/>
  <c r="K89" i="1"/>
  <c r="T88" i="1"/>
  <c r="S88" i="1"/>
  <c r="Q88" i="1"/>
  <c r="O88" i="1"/>
  <c r="K88" i="1"/>
  <c r="T87" i="1"/>
  <c r="S87" i="1"/>
  <c r="Q87" i="1"/>
  <c r="O87" i="1"/>
  <c r="K87" i="1"/>
  <c r="T86" i="1"/>
  <c r="S86" i="1"/>
  <c r="Q86" i="1"/>
  <c r="O86" i="1"/>
  <c r="K86" i="1"/>
  <c r="T85" i="1"/>
  <c r="S85" i="1"/>
  <c r="Q85" i="1"/>
  <c r="O85" i="1"/>
  <c r="K85" i="1"/>
  <c r="T84" i="1"/>
  <c r="S84" i="1"/>
  <c r="Q84" i="1"/>
  <c r="O84" i="1"/>
  <c r="K84" i="1"/>
  <c r="T83" i="1"/>
  <c r="S83" i="1"/>
  <c r="Q83" i="1"/>
  <c r="O83" i="1"/>
  <c r="K83" i="1"/>
  <c r="T82" i="1"/>
  <c r="S82" i="1"/>
  <c r="Q82" i="1"/>
  <c r="O82" i="1"/>
  <c r="K82" i="1"/>
  <c r="T81" i="1"/>
  <c r="S81" i="1"/>
  <c r="Q81" i="1"/>
  <c r="O81" i="1"/>
  <c r="K81" i="1"/>
  <c r="T80" i="1"/>
  <c r="S80" i="1"/>
  <c r="Q80" i="1"/>
  <c r="O80" i="1"/>
  <c r="K80" i="1"/>
  <c r="T79" i="1"/>
  <c r="S79" i="1"/>
  <c r="Q79" i="1"/>
  <c r="O79" i="1"/>
  <c r="K79" i="1"/>
  <c r="T78" i="1"/>
  <c r="S78" i="1"/>
  <c r="Q78" i="1"/>
  <c r="O17" i="2" s="1"/>
  <c r="O78" i="1"/>
  <c r="K78" i="1"/>
  <c r="T77" i="1"/>
  <c r="S77" i="1"/>
  <c r="Q77" i="1"/>
  <c r="O77" i="1"/>
  <c r="K77" i="1"/>
  <c r="T76" i="1"/>
  <c r="S76" i="1"/>
  <c r="Q76" i="1"/>
  <c r="O76" i="1"/>
  <c r="K76" i="1"/>
  <c r="T75" i="1"/>
  <c r="S75" i="1"/>
  <c r="Q75" i="1"/>
  <c r="O75" i="1"/>
  <c r="K75" i="1"/>
  <c r="T74" i="1"/>
  <c r="S74" i="1"/>
  <c r="Q74" i="1"/>
  <c r="O74" i="1"/>
  <c r="K74" i="1"/>
  <c r="T73" i="1"/>
  <c r="S73" i="1"/>
  <c r="Q73" i="1"/>
  <c r="O73" i="1"/>
  <c r="K73" i="1"/>
  <c r="T72" i="1"/>
  <c r="S72" i="1"/>
  <c r="Q72" i="1"/>
  <c r="O72" i="1"/>
  <c r="K72" i="1"/>
  <c r="T71" i="1"/>
  <c r="S71" i="1"/>
  <c r="Q71" i="1"/>
  <c r="O71" i="1"/>
  <c r="K71" i="1"/>
  <c r="T70" i="1"/>
  <c r="S70" i="1"/>
  <c r="Q70" i="1"/>
  <c r="O70" i="1"/>
  <c r="K70" i="1"/>
  <c r="T69" i="1"/>
  <c r="S69" i="1"/>
  <c r="Q69" i="1"/>
  <c r="O69" i="1"/>
  <c r="K69" i="1"/>
  <c r="T68" i="1"/>
  <c r="S68" i="1"/>
  <c r="Q68" i="1"/>
  <c r="O68" i="1"/>
  <c r="K68" i="1"/>
  <c r="T67" i="1"/>
  <c r="S67" i="1"/>
  <c r="Q67" i="1"/>
  <c r="O67" i="1"/>
  <c r="K67" i="1"/>
  <c r="T66" i="1"/>
  <c r="S66" i="1"/>
  <c r="Q66" i="1"/>
  <c r="O66" i="1"/>
  <c r="K66" i="1"/>
  <c r="T65" i="1"/>
  <c r="S65" i="1"/>
  <c r="Q65" i="1"/>
  <c r="O65" i="1"/>
  <c r="K65" i="1"/>
  <c r="T64" i="1"/>
  <c r="S64" i="1"/>
  <c r="Q64" i="1"/>
  <c r="O64" i="1"/>
  <c r="K64" i="1"/>
  <c r="T63" i="1"/>
  <c r="S63" i="1"/>
  <c r="Q63" i="1"/>
  <c r="O63" i="1"/>
  <c r="K63" i="1"/>
  <c r="T62" i="1"/>
  <c r="S62" i="1"/>
  <c r="Q62" i="1"/>
  <c r="O62" i="1"/>
  <c r="K62" i="1"/>
  <c r="T61" i="1"/>
  <c r="S61" i="1"/>
  <c r="Q61" i="1"/>
  <c r="O61" i="1"/>
  <c r="K61" i="1"/>
  <c r="T60" i="1"/>
  <c r="S60" i="1"/>
  <c r="Q60" i="1"/>
  <c r="O60" i="1"/>
  <c r="K60" i="1"/>
  <c r="T59" i="1"/>
  <c r="S59" i="1"/>
  <c r="Q59" i="1"/>
  <c r="O59" i="1"/>
  <c r="K59" i="1"/>
  <c r="T58" i="1"/>
  <c r="S58" i="1"/>
  <c r="Q58" i="1"/>
  <c r="O58" i="1"/>
  <c r="K58" i="1"/>
  <c r="T57" i="1"/>
  <c r="S57" i="1"/>
  <c r="Q57" i="1"/>
  <c r="O57" i="1"/>
  <c r="K57" i="1"/>
  <c r="T56" i="1"/>
  <c r="S56" i="1"/>
  <c r="Q56" i="1"/>
  <c r="O56" i="1"/>
  <c r="K56" i="1"/>
  <c r="T55" i="1"/>
  <c r="S55" i="1"/>
  <c r="Q55" i="1"/>
  <c r="O55" i="1"/>
  <c r="K55" i="1"/>
  <c r="T54" i="1"/>
  <c r="S54" i="1"/>
  <c r="Q54" i="1"/>
  <c r="O54" i="1"/>
  <c r="K54" i="1"/>
  <c r="T53" i="1"/>
  <c r="S53" i="1"/>
  <c r="Q53" i="1"/>
  <c r="O53" i="1"/>
  <c r="K53" i="1"/>
  <c r="T52" i="1"/>
  <c r="S52" i="1"/>
  <c r="Q52" i="1"/>
  <c r="O52" i="1"/>
  <c r="K52" i="1"/>
  <c r="T51" i="1"/>
  <c r="S51" i="1"/>
  <c r="Q51" i="1"/>
  <c r="O51" i="1"/>
  <c r="K51" i="1"/>
  <c r="T50" i="1"/>
  <c r="S50" i="1"/>
  <c r="Q50" i="1"/>
  <c r="O50" i="1"/>
  <c r="K50" i="1"/>
  <c r="T49" i="1"/>
  <c r="S49" i="1"/>
  <c r="Q49" i="1"/>
  <c r="O49" i="1"/>
  <c r="K49" i="1"/>
  <c r="T48" i="1"/>
  <c r="S48" i="1"/>
  <c r="Q48" i="1"/>
  <c r="O48" i="1"/>
  <c r="K48" i="1"/>
  <c r="T47" i="1"/>
  <c r="S47" i="1"/>
  <c r="Q47" i="1"/>
  <c r="O47" i="1"/>
  <c r="K47" i="1"/>
  <c r="T46" i="1"/>
  <c r="S46" i="1"/>
  <c r="Q46" i="1"/>
  <c r="O46" i="1"/>
  <c r="K46" i="1"/>
  <c r="T45" i="1"/>
  <c r="S45" i="1"/>
  <c r="Q45" i="1"/>
  <c r="O45" i="1"/>
  <c r="K45" i="1"/>
  <c r="T44" i="1"/>
  <c r="S44" i="1"/>
  <c r="Q44" i="1"/>
  <c r="O44" i="1"/>
  <c r="K44" i="1"/>
  <c r="T43" i="1"/>
  <c r="S43" i="1"/>
  <c r="Q43" i="1"/>
  <c r="O43" i="1"/>
  <c r="K43" i="1"/>
  <c r="T42" i="1"/>
  <c r="S42" i="1"/>
  <c r="Q42" i="1"/>
  <c r="O42" i="1"/>
  <c r="K42" i="1"/>
  <c r="T41" i="1"/>
  <c r="S41" i="1"/>
  <c r="Q41" i="1"/>
  <c r="O41" i="1"/>
  <c r="K41" i="1"/>
  <c r="T40" i="1"/>
  <c r="S40" i="1"/>
  <c r="Q40" i="1" s="1"/>
  <c r="O40" i="1"/>
  <c r="K40" i="1"/>
  <c r="T39" i="1"/>
  <c r="S39" i="1"/>
  <c r="Q39" i="1"/>
  <c r="O39" i="1"/>
  <c r="K39" i="1"/>
  <c r="T38" i="1"/>
  <c r="S38" i="1"/>
  <c r="Q38" i="1"/>
  <c r="O38" i="1"/>
  <c r="K38" i="1"/>
  <c r="T37" i="1"/>
  <c r="S37" i="1"/>
  <c r="Q37" i="1"/>
  <c r="O37" i="1"/>
  <c r="K37" i="1"/>
  <c r="T36" i="1"/>
  <c r="S36" i="1"/>
  <c r="Q36" i="1"/>
  <c r="O36" i="1"/>
  <c r="K36" i="1"/>
  <c r="T35" i="1"/>
  <c r="S35" i="1"/>
  <c r="Q35" i="1"/>
  <c r="O35" i="1"/>
  <c r="K35" i="1"/>
  <c r="T34" i="1"/>
  <c r="S34" i="1"/>
  <c r="Q34" i="1"/>
  <c r="O34" i="1"/>
  <c r="K34" i="1"/>
  <c r="T33" i="1"/>
  <c r="S33" i="1"/>
  <c r="Q33" i="1"/>
  <c r="O33" i="1"/>
  <c r="K33" i="1"/>
  <c r="T32" i="1"/>
  <c r="S32" i="1"/>
  <c r="Q32" i="1"/>
  <c r="O32" i="1"/>
  <c r="K32" i="1"/>
  <c r="T31" i="1"/>
  <c r="S31" i="1"/>
  <c r="Q31" i="1"/>
  <c r="O31" i="1"/>
  <c r="K31" i="1"/>
  <c r="T30" i="1"/>
  <c r="S30" i="1"/>
  <c r="Q30" i="1"/>
  <c r="O30" i="1"/>
  <c r="K30" i="1"/>
  <c r="T29" i="1"/>
  <c r="S29" i="1"/>
  <c r="Q29" i="1"/>
  <c r="O29" i="1"/>
  <c r="K29" i="1"/>
  <c r="T28" i="1"/>
  <c r="S28" i="1"/>
  <c r="Q28" i="1"/>
  <c r="O28" i="1"/>
  <c r="K28" i="1"/>
  <c r="T27" i="1"/>
  <c r="S27" i="1"/>
  <c r="Q27" i="1"/>
  <c r="O27" i="1"/>
  <c r="K27" i="1"/>
  <c r="T26" i="1"/>
  <c r="S26" i="1"/>
  <c r="Q26" i="1"/>
  <c r="O26" i="1"/>
  <c r="K26" i="1"/>
  <c r="T25" i="1"/>
  <c r="S25" i="1"/>
  <c r="Q25" i="1"/>
  <c r="O25" i="1"/>
  <c r="K25" i="1"/>
  <c r="T24" i="1"/>
  <c r="S24" i="1"/>
  <c r="Q24" i="1"/>
  <c r="O24" i="1"/>
  <c r="K24" i="1"/>
  <c r="T23" i="1"/>
  <c r="S23" i="1"/>
  <c r="Q23" i="1"/>
  <c r="O23" i="1"/>
  <c r="K23" i="1"/>
  <c r="T22" i="1"/>
  <c r="S22" i="1"/>
  <c r="Q22" i="1"/>
  <c r="O22" i="1"/>
  <c r="K22" i="1"/>
  <c r="T21" i="1"/>
  <c r="S21" i="1"/>
  <c r="Q21" i="1"/>
  <c r="O21" i="1"/>
  <c r="K21" i="1"/>
  <c r="T20" i="1"/>
  <c r="S20" i="1"/>
  <c r="Q20" i="1"/>
  <c r="O20" i="1"/>
  <c r="K20" i="1"/>
  <c r="T19" i="1"/>
  <c r="S19" i="1"/>
  <c r="Q19" i="1"/>
  <c r="O19" i="1"/>
  <c r="K19" i="1"/>
  <c r="T18" i="1"/>
  <c r="S18" i="1"/>
  <c r="Q18" i="1"/>
  <c r="O18" i="1"/>
  <c r="K18" i="1"/>
  <c r="T17" i="1"/>
  <c r="S17" i="1"/>
  <c r="Q17" i="1"/>
  <c r="O17" i="1"/>
  <c r="K17" i="1"/>
  <c r="T16" i="1"/>
  <c r="S16" i="1"/>
  <c r="Q16" i="1"/>
  <c r="O16" i="1"/>
  <c r="K16" i="1"/>
  <c r="T15" i="1"/>
  <c r="S15" i="1"/>
  <c r="Q15" i="1" s="1"/>
  <c r="O15" i="1"/>
  <c r="K15" i="1"/>
  <c r="T14" i="1"/>
  <c r="S14" i="1"/>
  <c r="Q14" i="1" s="1"/>
  <c r="O14" i="1"/>
  <c r="K14" i="1"/>
  <c r="T13" i="1"/>
  <c r="S13" i="1"/>
  <c r="Q13" i="1" s="1"/>
  <c r="O13" i="1"/>
  <c r="K13" i="1"/>
  <c r="T12" i="1"/>
  <c r="S12" i="1"/>
  <c r="Q12" i="1"/>
  <c r="O12" i="1"/>
  <c r="K12" i="1"/>
  <c r="T11" i="1"/>
  <c r="S11" i="1"/>
  <c r="Q11" i="1" s="1"/>
  <c r="O11" i="1"/>
  <c r="K11" i="1"/>
  <c r="T10" i="1"/>
  <c r="S10" i="1"/>
  <c r="Q10" i="1"/>
  <c r="O10" i="1"/>
  <c r="K10" i="1"/>
  <c r="T9" i="1"/>
  <c r="S9" i="1"/>
  <c r="Q9" i="1"/>
  <c r="O9" i="1"/>
  <c r="K9" i="1"/>
  <c r="T8" i="1"/>
  <c r="S8" i="1"/>
  <c r="Q8" i="1"/>
  <c r="O8" i="1"/>
  <c r="K8" i="1"/>
  <c r="T7" i="1"/>
  <c r="S7" i="1"/>
  <c r="Q7" i="1" s="1"/>
  <c r="O7" i="1"/>
  <c r="K7" i="1"/>
  <c r="T6" i="1"/>
  <c r="S6" i="1"/>
  <c r="Q6" i="1"/>
  <c r="O6" i="1"/>
  <c r="K6" i="1"/>
  <c r="T5" i="1"/>
  <c r="S5" i="1"/>
  <c r="Q5" i="1"/>
  <c r="O5" i="1"/>
  <c r="K5" i="1"/>
  <c r="T4" i="1"/>
  <c r="Q4" i="1" s="1"/>
  <c r="S4" i="1"/>
  <c r="O4" i="1"/>
  <c r="K4" i="1"/>
  <c r="T3" i="1"/>
  <c r="S3" i="1"/>
  <c r="Q3" i="1" s="1"/>
  <c r="O3" i="1"/>
  <c r="K3" i="1"/>
  <c r="T2" i="1"/>
  <c r="S2" i="1"/>
  <c r="Q2" i="1"/>
  <c r="O2" i="1"/>
  <c r="C27" i="2" s="1"/>
  <c r="K2" i="1"/>
  <c r="O16" i="2" l="1"/>
  <c r="O15" i="2"/>
  <c r="O5" i="2"/>
  <c r="O6" i="2"/>
  <c r="L16" i="2"/>
  <c r="L17" i="2"/>
  <c r="L15" i="2"/>
  <c r="L6" i="2"/>
  <c r="L5" i="2"/>
  <c r="I17" i="2"/>
  <c r="I15" i="2"/>
  <c r="I16" i="2"/>
  <c r="I5" i="2"/>
  <c r="I6" i="2"/>
  <c r="F6" i="2"/>
  <c r="F17" i="2"/>
  <c r="C15" i="2"/>
  <c r="F5" i="2"/>
  <c r="F16" i="2"/>
  <c r="C16" i="2"/>
  <c r="F15" i="2"/>
  <c r="O11" i="2" l="1"/>
  <c r="O25" i="2"/>
  <c r="O7" i="2"/>
  <c r="O9" i="2"/>
  <c r="O4" i="2"/>
  <c r="O8" i="2"/>
  <c r="O10" i="2"/>
  <c r="O24" i="2"/>
  <c r="O26" i="2"/>
  <c r="L10" i="2"/>
  <c r="L26" i="2"/>
  <c r="L8" i="2"/>
  <c r="L24" i="2"/>
  <c r="L7" i="2"/>
  <c r="L9" i="2"/>
  <c r="L25" i="2"/>
  <c r="L11" i="2"/>
  <c r="L12" i="2" s="1"/>
  <c r="L13" i="2" s="1"/>
  <c r="L4" i="2"/>
  <c r="I9" i="2"/>
  <c r="I4" i="2"/>
  <c r="I25" i="2"/>
  <c r="I10" i="2"/>
  <c r="I26" i="2"/>
  <c r="F10" i="2"/>
  <c r="F24" i="2" s="1"/>
  <c r="C6" i="2"/>
  <c r="F8" i="2"/>
  <c r="F26" i="2"/>
  <c r="F28" i="2"/>
  <c r="C17" i="2"/>
  <c r="C28" i="2" s="1"/>
  <c r="F25" i="2"/>
  <c r="F4" i="2"/>
  <c r="F7" i="2" s="1"/>
  <c r="C5" i="2"/>
  <c r="F9" i="2"/>
  <c r="F11" i="2" s="1"/>
  <c r="F12" i="2" s="1"/>
  <c r="F13" i="2" s="1"/>
  <c r="O27" i="2" l="1"/>
  <c r="O28" i="2"/>
  <c r="L27" i="2"/>
  <c r="L28" i="2"/>
  <c r="F27" i="2"/>
  <c r="I27" i="2"/>
  <c r="I28" i="2"/>
  <c r="C26" i="2"/>
  <c r="C10" i="2"/>
  <c r="C25" i="2"/>
  <c r="C9" i="2"/>
  <c r="C11" i="2" s="1"/>
  <c r="C4" i="2"/>
  <c r="O12" i="2"/>
  <c r="O13" i="2" s="1"/>
  <c r="I7" i="2"/>
  <c r="I8" i="2"/>
  <c r="I11" i="2"/>
  <c r="I12" i="2" s="1"/>
  <c r="I13" i="2" s="1"/>
  <c r="I24" i="2"/>
  <c r="C24" i="2" s="1"/>
  <c r="C7" i="2" l="1"/>
  <c r="C12" i="2" s="1"/>
  <c r="C13" i="2" s="1"/>
  <c r="C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TZ</author>
  </authors>
  <commentList>
    <comment ref="A1" authorId="0" shapeId="0" xr:uid="{00000000-0006-0000-0000-000001000000}">
      <text>
        <r>
          <rPr>
            <sz val="11"/>
            <color rgb="FF000000"/>
            <rFont val="Arial"/>
            <family val="2"/>
          </rPr>
          <t xml:space="preserve">Admin:
Underlying stock symbol
</t>
        </r>
      </text>
    </comment>
    <comment ref="B1" authorId="0" shapeId="0" xr:uid="{00000000-0006-0000-0000-000002000000}">
      <text>
        <r>
          <rPr>
            <sz val="11"/>
            <color rgb="FF000000"/>
            <rFont val="Arial"/>
            <family val="2"/>
          </rPr>
          <t>Admin:
What is the trading system or advisory service used to take the trade? The trade source</t>
        </r>
      </text>
    </comment>
    <comment ref="C1" authorId="0" shapeId="0" xr:uid="{00000000-0006-0000-0000-000003000000}">
      <text>
        <r>
          <rPr>
            <sz val="11"/>
            <color rgb="FF000000"/>
            <rFont val="Arial"/>
            <family val="2"/>
          </rPr>
          <t>Admin:
What type of option trade, i.e. call, put, bull put, butterfly, etc.</t>
        </r>
      </text>
    </comment>
    <comment ref="D1" authorId="0" shapeId="0" xr:uid="{00000000-0006-0000-0000-000004000000}">
      <text>
        <r>
          <rPr>
            <sz val="11"/>
            <color rgb="FF000000"/>
            <rFont val="Arial"/>
            <family val="2"/>
          </rPr>
          <t>Admin:
Enter long if you entered with a debit, short if you entered with a credit</t>
        </r>
      </text>
    </comment>
    <comment ref="E1" authorId="0" shapeId="0" xr:uid="{00000000-0006-0000-0000-000005000000}">
      <text>
        <r>
          <rPr>
            <sz val="11"/>
            <color rgb="FF000000"/>
            <rFont val="Arial"/>
            <family val="2"/>
          </rPr>
          <t>Admin:
The date you entered the trade</t>
        </r>
      </text>
    </comment>
    <comment ref="F1" authorId="0" shapeId="0" xr:uid="{00000000-0006-0000-0000-000006000000}">
      <text>
        <r>
          <rPr>
            <sz val="11"/>
            <color rgb="FF000000"/>
            <rFont val="Arial"/>
            <family val="2"/>
          </rPr>
          <t>Admin:
This field should be expressed as an option price</t>
        </r>
      </text>
    </comment>
    <comment ref="G1" authorId="0" shapeId="0" xr:uid="{00000000-0006-0000-0000-000007000000}">
      <text>
        <r>
          <rPr>
            <sz val="11"/>
            <color rgb="FF000000"/>
            <rFont val="Arial"/>
            <family val="2"/>
          </rPr>
          <t xml:space="preserve">Admin:
How many contracts did you trade?
</t>
        </r>
      </text>
    </comment>
    <comment ref="H1" authorId="0" shapeId="0" xr:uid="{00000000-0006-0000-0000-000008000000}">
      <text>
        <r>
          <rPr>
            <sz val="11"/>
            <color rgb="FF000000"/>
            <rFont val="Arial"/>
            <family val="2"/>
          </rPr>
          <t xml:space="preserve">Admin:
Exit price, again expressed as an option price, for the first part, or total of the trade
</t>
        </r>
      </text>
    </comment>
    <comment ref="I1" authorId="0" shapeId="0" xr:uid="{00000000-0006-0000-0000-000009000000}">
      <text>
        <r>
          <rPr>
            <sz val="11"/>
            <color rgb="FF000000"/>
            <rFont val="Arial"/>
            <family val="2"/>
          </rPr>
          <t>Admin:
How many contracts you closed on Exit #1</t>
        </r>
      </text>
    </comment>
    <comment ref="J1" authorId="0" shapeId="0" xr:uid="{00000000-0006-0000-0000-00000A000000}">
      <text>
        <r>
          <rPr>
            <sz val="11"/>
            <color rgb="FF000000"/>
            <rFont val="Arial"/>
            <family val="2"/>
          </rPr>
          <t>Admin:
The date Exit #1 executed</t>
        </r>
      </text>
    </comment>
    <comment ref="L1" authorId="0" shapeId="0" xr:uid="{00000000-0006-0000-0000-00000B000000}">
      <text>
        <r>
          <rPr>
            <sz val="11"/>
            <color rgb="FF000000"/>
            <rFont val="Arial"/>
            <family val="2"/>
          </rPr>
          <t>Admin:
Admin:
Exit price, again expressed as an option price, for the remainder</t>
        </r>
      </text>
    </comment>
    <comment ref="M1" authorId="0" shapeId="0" xr:uid="{00000000-0006-0000-0000-00000C000000}">
      <text>
        <r>
          <rPr>
            <sz val="11"/>
            <color rgb="FF000000"/>
            <rFont val="Arial"/>
            <family val="2"/>
          </rPr>
          <t>Admin:
How many contracts you closed on Exit #2</t>
        </r>
      </text>
    </comment>
    <comment ref="N1" authorId="0" shapeId="0" xr:uid="{00000000-0006-0000-0000-00000D000000}">
      <text>
        <r>
          <rPr>
            <sz val="11"/>
            <color rgb="FF000000"/>
            <rFont val="Arial"/>
            <family val="2"/>
          </rPr>
          <t xml:space="preserve">Admin:
The date Exit #2 executed
</t>
        </r>
      </text>
    </comment>
    <comment ref="P1" authorId="0" shapeId="0" xr:uid="{00000000-0006-0000-0000-00000E000000}">
      <text>
        <r>
          <rPr>
            <sz val="11"/>
            <color rgb="FF000000"/>
            <rFont val="Arial"/>
            <family val="2"/>
          </rPr>
          <t>Admin:
Total amount of commissions, in and out, for the entire trade (if you want this included in your results)</t>
        </r>
      </text>
    </comment>
    <comment ref="R1" authorId="0" shapeId="0" xr:uid="{00000000-0006-0000-0000-00000F000000}">
      <text>
        <r>
          <rPr>
            <sz val="11"/>
            <color rgb="FF000000"/>
            <rFont val="Arial"/>
            <family val="2"/>
          </rPr>
          <t>Admin:
Anything about the trade that you may want to reference down the road when analyzing previous results</t>
        </r>
      </text>
    </comment>
  </commentList>
</comments>
</file>

<file path=xl/sharedStrings.xml><?xml version="1.0" encoding="utf-8"?>
<sst xmlns="http://schemas.openxmlformats.org/spreadsheetml/2006/main" count="311" uniqueCount="101">
  <si>
    <t>Symbol</t>
  </si>
  <si>
    <t>System</t>
  </si>
  <si>
    <t>Trade Type</t>
  </si>
  <si>
    <t>Long</t>
  </si>
  <si>
    <t>Trade Date</t>
  </si>
  <si>
    <t>Entry Price</t>
  </si>
  <si>
    <t>Contracts</t>
  </si>
  <si>
    <t>Exit #1</t>
  </si>
  <si>
    <t># Exited</t>
  </si>
  <si>
    <t>Exit Date</t>
  </si>
  <si>
    <t># of Days</t>
  </si>
  <si>
    <t>Exit #2</t>
  </si>
  <si>
    <t>Comm.</t>
  </si>
  <si>
    <t>Gain/Loss</t>
  </si>
  <si>
    <t>Trade Comments</t>
  </si>
  <si>
    <t>Exit #1 Gain</t>
  </si>
  <si>
    <t>Exit #2 Gain</t>
  </si>
  <si>
    <t>GSAT</t>
  </si>
  <si>
    <t>VP_Grok</t>
  </si>
  <si>
    <t>Call</t>
  </si>
  <si>
    <t>Short</t>
  </si>
  <si>
    <t>ACGO</t>
  </si>
  <si>
    <t>AVGO</t>
  </si>
  <si>
    <t>AMZN</t>
  </si>
  <si>
    <t>UBER</t>
  </si>
  <si>
    <t>Still 2 Remaining ?</t>
  </si>
  <si>
    <t>PLTR</t>
  </si>
  <si>
    <t>Still 1 Remaining ?</t>
  </si>
  <si>
    <t>VSAT</t>
  </si>
  <si>
    <t>RMBS</t>
  </si>
  <si>
    <t>GILD</t>
  </si>
  <si>
    <t>P_118</t>
  </si>
  <si>
    <t>QQQ</t>
  </si>
  <si>
    <t>QMC</t>
  </si>
  <si>
    <t>TPR</t>
  </si>
  <si>
    <t>Expied iTM (104 on 1119 114 on 12 10)</t>
  </si>
  <si>
    <t>NIU</t>
  </si>
  <si>
    <t>SIMO</t>
  </si>
  <si>
    <t>WY</t>
  </si>
  <si>
    <t>BOOT</t>
  </si>
  <si>
    <t>CAT</t>
  </si>
  <si>
    <t>IBM</t>
  </si>
  <si>
    <t>RGTI</t>
  </si>
  <si>
    <t xml:space="preserve">Removed TLSA Transactions from Log  Not sure what I tried </t>
  </si>
  <si>
    <t>MOD</t>
  </si>
  <si>
    <t>ATI</t>
  </si>
  <si>
    <t>UAMY</t>
  </si>
  <si>
    <t>CALM</t>
  </si>
  <si>
    <t xml:space="preserve">Expired OTM </t>
  </si>
  <si>
    <t>LRN</t>
  </si>
  <si>
    <t>URBN</t>
  </si>
  <si>
    <t>CLS</t>
  </si>
  <si>
    <t>Typed in Incorrect STOP price.74 instead 1.74</t>
  </si>
  <si>
    <t>MGNI</t>
  </si>
  <si>
    <t>AZN</t>
  </si>
  <si>
    <t>FOXA</t>
  </si>
  <si>
    <t>P_117</t>
  </si>
  <si>
    <t>TXTX</t>
  </si>
  <si>
    <t>ROKU</t>
  </si>
  <si>
    <t>TSLA</t>
  </si>
  <si>
    <t>TWLO</t>
  </si>
  <si>
    <t>CLF</t>
  </si>
  <si>
    <t>PRMB</t>
  </si>
  <si>
    <t>WVE</t>
  </si>
  <si>
    <t>SNT</t>
  </si>
  <si>
    <t>End of Formulas</t>
  </si>
  <si>
    <t>v2.0</t>
  </si>
  <si>
    <t>Cumulative Results</t>
  </si>
  <si>
    <t>Trades 1-25</t>
  </si>
  <si>
    <t>Trades 26-50</t>
  </si>
  <si>
    <t>Trades 51-75</t>
  </si>
  <si>
    <t>Trades 76-100</t>
  </si>
  <si>
    <t># of Trades</t>
  </si>
  <si>
    <t># of Winners</t>
  </si>
  <si>
    <t># of Losers</t>
  </si>
  <si>
    <t>% Winners</t>
  </si>
  <si>
    <t>% Losers</t>
  </si>
  <si>
    <t>Avg. $ Win</t>
  </si>
  <si>
    <t>Avg. $ Loss</t>
  </si>
  <si>
    <t>R-to-R Ratio</t>
  </si>
  <si>
    <t>Expectancy %</t>
  </si>
  <si>
    <t>Kelly %</t>
  </si>
  <si>
    <t>Net Gains</t>
  </si>
  <si>
    <t>Net Losses</t>
  </si>
  <si>
    <t>Net Profit/Loss</t>
  </si>
  <si>
    <t>Contextual Info:</t>
  </si>
  <si>
    <t>One final check on GSAT:</t>
  </si>
  <si>
    <t>Beginning Equity</t>
  </si>
  <si>
    <t>Trade Risk %</t>
  </si>
  <si>
    <t>Risk per Trade</t>
  </si>
  <si>
    <t>Loss-to-Risk Ratio</t>
  </si>
  <si>
    <t>Avg. Days in Winners</t>
  </si>
  <si>
    <t>Avg. Days in Losers</t>
  </si>
  <si>
    <t>Days after Scale out</t>
  </si>
  <si>
    <t>Net Return %</t>
  </si>
  <si>
    <t>Beginning Date</t>
  </si>
  <si>
    <t>End Date</t>
  </si>
  <si>
    <t># Exited2</t>
  </si>
  <si>
    <t>Exit Date3</t>
  </si>
  <si>
    <t># of Days4</t>
  </si>
  <si>
    <t>P_115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</si>
</sst>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[$-409]General"/>
    <numFmt numFmtId="165" formatCode="&quot;$&quot;#,##0.00"/>
    <numFmt numFmtId="166" formatCode="[$-409]0"/>
    <numFmt numFmtId="167" formatCode="d\-mmm;@"/>
    <numFmt numFmtId="168" formatCode="[$-409]d\-mmm"/>
    <numFmt numFmtId="169" formatCode="[$-409]mmm&quot; &quot;dd"/>
    <numFmt numFmtId="170" formatCode="[$-409]0.00%"/>
    <numFmt numFmtId="171" formatCode="[$-409]0.00"/>
    <numFmt numFmtId="172" formatCode="&quot;$&quot;#,##0"/>
    <numFmt numFmtId="173" formatCode="[$-409]0%"/>
    <numFmt numFmtId="174" formatCode="m/d/yy;@"/>
    <numFmt numFmtId="175" formatCode="&quot;$&quot;#,##0.00;[Red]&quot;$&quot;#,##0.00"/>
    <numFmt numFmtId="176" formatCode="0.0%"/>
    <numFmt numFmtId="177" formatCode="[$$-409]#,##0.00;[Red]&quot;-&quot;[$$-409]#,##0.00"/>
  </numFmts>
  <fonts count="11" x14ac:knownFonts="1">
    <font>
      <sz val="11"/>
      <color rgb="FF000000"/>
      <name val="Arial"/>
      <family val="2"/>
    </font>
    <font>
      <sz val="11"/>
      <color rgb="FF000000"/>
      <name val="Calibri"/>
      <family val="2"/>
    </font>
    <font>
      <b/>
      <i/>
      <sz val="16"/>
      <color rgb="FF000000"/>
      <name val="Arial"/>
      <family val="2"/>
    </font>
    <font>
      <b/>
      <i/>
      <u/>
      <sz val="11"/>
      <color rgb="FF000000"/>
      <name val="Arial"/>
      <family val="2"/>
    </font>
    <font>
      <b/>
      <sz val="10"/>
      <color rgb="FF000000"/>
      <name val="Arial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sz val="14"/>
      <color rgb="FF000000"/>
      <name val="Calibri"/>
      <family val="2"/>
    </font>
    <font>
      <sz val="14"/>
      <color rgb="FF000000"/>
      <name val="Cambria"/>
      <family val="1"/>
    </font>
    <font>
      <b/>
      <sz val="12"/>
      <color rgb="FF1F4E78"/>
      <name val="Arial"/>
    </font>
    <font>
      <b/>
      <sz val="11"/>
      <color rgb="FFFFFFFF"/>
      <name val="Arial"/>
    </font>
  </fonts>
  <fills count="7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EEECE1"/>
        <bgColor rgb="FFEEECE1"/>
      </patternFill>
    </fill>
    <fill>
      <patternFill patternType="solid">
        <fgColor rgb="FF4472C4"/>
        <bgColor rgb="FF4472C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6">
    <xf numFmtId="0" fontId="0" fillId="0" borderId="0"/>
    <xf numFmtId="164" fontId="1" fillId="0" borderId="0"/>
    <xf numFmtId="0" fontId="2" fillId="0" borderId="0">
      <alignment horizontal="center"/>
    </xf>
    <xf numFmtId="0" fontId="2" fillId="0" borderId="0">
      <alignment horizontal="center" textRotation="90"/>
    </xf>
    <xf numFmtId="0" fontId="3" fillId="0" borderId="0"/>
    <xf numFmtId="177" fontId="3" fillId="0" borderId="0"/>
  </cellStyleXfs>
  <cellXfs count="85">
    <xf numFmtId="0" fontId="0" fillId="0" borderId="0" xfId="0"/>
    <xf numFmtId="164" fontId="4" fillId="0" borderId="0" xfId="1" applyFont="1" applyAlignment="1" applyProtection="1">
      <alignment horizontal="center"/>
      <protection locked="0"/>
    </xf>
    <xf numFmtId="164" fontId="1" fillId="0" borderId="0" xfId="1"/>
    <xf numFmtId="164" fontId="1" fillId="0" borderId="0" xfId="1" applyAlignment="1" applyProtection="1">
      <alignment horizontal="center"/>
      <protection locked="0"/>
    </xf>
    <xf numFmtId="168" fontId="1" fillId="0" borderId="0" xfId="1" applyNumberFormat="1" applyAlignment="1" applyProtection="1">
      <alignment horizontal="center"/>
      <protection locked="0"/>
    </xf>
    <xf numFmtId="165" fontId="1" fillId="0" borderId="0" xfId="1" applyNumberFormat="1" applyAlignment="1" applyProtection="1">
      <alignment horizontal="center"/>
      <protection locked="0"/>
    </xf>
    <xf numFmtId="166" fontId="1" fillId="0" borderId="0" xfId="1" applyNumberFormat="1" applyAlignment="1" applyProtection="1">
      <alignment horizontal="center"/>
      <protection locked="0"/>
    </xf>
    <xf numFmtId="167" fontId="1" fillId="0" borderId="0" xfId="1" applyNumberFormat="1" applyAlignment="1" applyProtection="1">
      <alignment horizontal="center"/>
      <protection locked="0"/>
    </xf>
    <xf numFmtId="166" fontId="1" fillId="2" borderId="1" xfId="1" applyNumberFormat="1" applyFill="1" applyBorder="1" applyAlignment="1">
      <alignment horizontal="center"/>
    </xf>
    <xf numFmtId="164" fontId="1" fillId="0" borderId="0" xfId="1" applyProtection="1">
      <protection locked="0"/>
    </xf>
    <xf numFmtId="165" fontId="1" fillId="2" borderId="0" xfId="1" applyNumberFormat="1" applyFill="1" applyAlignment="1">
      <alignment horizontal="center"/>
    </xf>
    <xf numFmtId="169" fontId="1" fillId="0" borderId="0" xfId="1" applyNumberFormat="1" applyAlignment="1" applyProtection="1">
      <alignment horizontal="center"/>
      <protection locked="0"/>
    </xf>
    <xf numFmtId="164" fontId="1" fillId="3" borderId="0" xfId="1" applyFill="1" applyProtection="1">
      <protection locked="0"/>
    </xf>
    <xf numFmtId="164" fontId="5" fillId="0" borderId="0" xfId="1" applyFont="1" applyAlignment="1" applyProtection="1">
      <alignment horizontal="left"/>
      <protection locked="0"/>
    </xf>
    <xf numFmtId="164" fontId="1" fillId="3" borderId="0" xfId="1" applyFill="1" applyAlignment="1" applyProtection="1">
      <alignment horizontal="center"/>
      <protection locked="0"/>
    </xf>
    <xf numFmtId="165" fontId="1" fillId="3" borderId="0" xfId="1" applyNumberFormat="1" applyFill="1" applyAlignment="1" applyProtection="1">
      <alignment horizontal="center"/>
      <protection locked="0"/>
    </xf>
    <xf numFmtId="166" fontId="1" fillId="3" borderId="0" xfId="1" applyNumberFormat="1" applyFill="1" applyAlignment="1" applyProtection="1">
      <alignment horizontal="center"/>
      <protection locked="0"/>
    </xf>
    <xf numFmtId="167" fontId="1" fillId="3" borderId="0" xfId="1" applyNumberFormat="1" applyFill="1" applyAlignment="1" applyProtection="1">
      <alignment horizontal="center"/>
      <protection locked="0"/>
    </xf>
    <xf numFmtId="166" fontId="1" fillId="3" borderId="1" xfId="1" applyNumberFormat="1" applyFill="1" applyBorder="1" applyAlignment="1" applyProtection="1">
      <alignment horizontal="center"/>
      <protection locked="0"/>
    </xf>
    <xf numFmtId="165" fontId="1" fillId="3" borderId="1" xfId="1" applyNumberFormat="1" applyFill="1" applyBorder="1" applyAlignment="1" applyProtection="1">
      <alignment horizontal="center"/>
      <protection locked="0"/>
    </xf>
    <xf numFmtId="165" fontId="1" fillId="3" borderId="0" xfId="1" applyNumberFormat="1" applyFill="1" applyProtection="1">
      <protection locked="0"/>
    </xf>
    <xf numFmtId="166" fontId="1" fillId="2" borderId="1" xfId="1" applyNumberFormat="1" applyFill="1" applyBorder="1" applyAlignment="1" applyProtection="1">
      <alignment horizontal="center"/>
      <protection locked="0"/>
    </xf>
    <xf numFmtId="165" fontId="1" fillId="2" borderId="1" xfId="1" applyNumberFormat="1" applyFill="1" applyBorder="1" applyAlignment="1" applyProtection="1">
      <alignment horizontal="center"/>
      <protection locked="0"/>
    </xf>
    <xf numFmtId="165" fontId="1" fillId="2" borderId="0" xfId="1" applyNumberFormat="1" applyFill="1" applyProtection="1">
      <protection locked="0"/>
    </xf>
    <xf numFmtId="164" fontId="1" fillId="2" borderId="0" xfId="1" applyFill="1" applyProtection="1">
      <protection locked="0"/>
    </xf>
    <xf numFmtId="164" fontId="1" fillId="0" borderId="0" xfId="1" applyAlignment="1">
      <alignment horizontal="center"/>
    </xf>
    <xf numFmtId="164" fontId="6" fillId="0" borderId="0" xfId="1" applyFont="1"/>
    <xf numFmtId="164" fontId="5" fillId="0" borderId="2" xfId="1" applyFont="1" applyBorder="1"/>
    <xf numFmtId="164" fontId="5" fillId="0" borderId="3" xfId="1" applyFont="1" applyBorder="1" applyAlignment="1">
      <alignment horizontal="center"/>
    </xf>
    <xf numFmtId="164" fontId="5" fillId="0" borderId="0" xfId="1" applyFont="1"/>
    <xf numFmtId="164" fontId="7" fillId="0" borderId="4" xfId="1" applyFont="1" applyBorder="1"/>
    <xf numFmtId="164" fontId="7" fillId="0" borderId="5" xfId="1" applyFont="1" applyBorder="1" applyAlignment="1">
      <alignment horizontal="center"/>
    </xf>
    <xf numFmtId="164" fontId="7" fillId="0" borderId="0" xfId="1" applyFont="1"/>
    <xf numFmtId="164" fontId="8" fillId="0" borderId="5" xfId="1" applyFont="1" applyBorder="1" applyAlignment="1">
      <alignment horizontal="center"/>
    </xf>
    <xf numFmtId="170" fontId="1" fillId="0" borderId="0" xfId="1" applyNumberFormat="1"/>
    <xf numFmtId="170" fontId="7" fillId="0" borderId="4" xfId="1" applyNumberFormat="1" applyFont="1" applyBorder="1"/>
    <xf numFmtId="170" fontId="8" fillId="0" borderId="5" xfId="1" applyNumberFormat="1" applyFont="1" applyBorder="1" applyAlignment="1">
      <alignment horizontal="center"/>
    </xf>
    <xf numFmtId="170" fontId="7" fillId="0" borderId="0" xfId="1" applyNumberFormat="1" applyFont="1"/>
    <xf numFmtId="170" fontId="7" fillId="0" borderId="5" xfId="1" applyNumberFormat="1" applyFont="1" applyBorder="1" applyAlignment="1">
      <alignment horizontal="center"/>
    </xf>
    <xf numFmtId="165" fontId="7" fillId="0" borderId="0" xfId="1" applyNumberFormat="1" applyFont="1"/>
    <xf numFmtId="165" fontId="7" fillId="0" borderId="4" xfId="1" applyNumberFormat="1" applyFont="1" applyBorder="1"/>
    <xf numFmtId="165" fontId="7" fillId="0" borderId="5" xfId="1" applyNumberFormat="1" applyFont="1" applyBorder="1" applyAlignment="1">
      <alignment horizontal="center"/>
    </xf>
    <xf numFmtId="171" fontId="7" fillId="0" borderId="0" xfId="1" applyNumberFormat="1" applyFont="1"/>
    <xf numFmtId="171" fontId="7" fillId="0" borderId="4" xfId="1" applyNumberFormat="1" applyFont="1" applyBorder="1"/>
    <xf numFmtId="171" fontId="7" fillId="0" borderId="5" xfId="1" applyNumberFormat="1" applyFont="1" applyBorder="1" applyAlignment="1">
      <alignment horizontal="center"/>
    </xf>
    <xf numFmtId="164" fontId="7" fillId="0" borderId="6" xfId="1" applyFont="1" applyBorder="1"/>
    <xf numFmtId="165" fontId="7" fillId="0" borderId="6" xfId="1" applyNumberFormat="1" applyFont="1" applyBorder="1"/>
    <xf numFmtId="164" fontId="1" fillId="4" borderId="2" xfId="1" applyFill="1" applyBorder="1"/>
    <xf numFmtId="164" fontId="8" fillId="4" borderId="3" xfId="1" applyFont="1" applyFill="1" applyBorder="1" applyAlignment="1">
      <alignment horizontal="center"/>
    </xf>
    <xf numFmtId="164" fontId="1" fillId="4" borderId="3" xfId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72" fontId="7" fillId="0" borderId="5" xfId="1" applyNumberFormat="1" applyFont="1" applyBorder="1" applyAlignment="1">
      <alignment horizontal="center"/>
    </xf>
    <xf numFmtId="173" fontId="7" fillId="0" borderId="5" xfId="1" applyNumberFormat="1" applyFont="1" applyBorder="1" applyAlignment="1">
      <alignment horizontal="center"/>
    </xf>
    <xf numFmtId="165" fontId="7" fillId="0" borderId="5" xfId="1" applyNumberFormat="1" applyFont="1" applyBorder="1"/>
    <xf numFmtId="174" fontId="7" fillId="0" borderId="4" xfId="1" applyNumberFormat="1" applyFont="1" applyBorder="1"/>
    <xf numFmtId="174" fontId="7" fillId="0" borderId="6" xfId="1" applyNumberFormat="1" applyFont="1" applyBorder="1"/>
    <xf numFmtId="174" fontId="7" fillId="0" borderId="0" xfId="1" applyNumberFormat="1" applyFont="1"/>
    <xf numFmtId="164" fontId="7" fillId="0" borderId="5" xfId="0" applyNumberFormat="1" applyFont="1" applyBorder="1" applyAlignment="1">
      <alignment horizontal="center"/>
    </xf>
    <xf numFmtId="175" fontId="7" fillId="0" borderId="5" xfId="0" applyNumberFormat="1" applyFont="1" applyBorder="1"/>
    <xf numFmtId="165" fontId="7" fillId="0" borderId="5" xfId="0" applyNumberFormat="1" applyFont="1" applyBorder="1"/>
    <xf numFmtId="165" fontId="5" fillId="0" borderId="4" xfId="1" applyNumberFormat="1" applyFont="1" applyBorder="1"/>
    <xf numFmtId="176" fontId="7" fillId="5" borderId="5" xfId="1" applyNumberFormat="1" applyFont="1" applyFill="1" applyBorder="1" applyAlignment="1" applyProtection="1">
      <alignment horizontal="center"/>
      <protection locked="0"/>
    </xf>
    <xf numFmtId="0" fontId="7" fillId="0" borderId="5" xfId="0" applyFont="1" applyBorder="1" applyAlignment="1">
      <alignment horizontal="center"/>
    </xf>
    <xf numFmtId="10" fontId="7" fillId="0" borderId="5" xfId="0" applyNumberFormat="1" applyFont="1" applyBorder="1" applyAlignment="1">
      <alignment horizontal="center" vertical="center" wrapText="1"/>
    </xf>
    <xf numFmtId="14" fontId="7" fillId="0" borderId="5" xfId="1" applyNumberFormat="1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164" fontId="1" fillId="4" borderId="8" xfId="1" applyFill="1" applyBorder="1"/>
    <xf numFmtId="165" fontId="5" fillId="0" borderId="5" xfId="0" applyNumberFormat="1" applyFont="1" applyBorder="1" applyAlignment="1">
      <alignment vertical="center"/>
    </xf>
    <xf numFmtId="172" fontId="7" fillId="5" borderId="5" xfId="1" applyNumberFormat="1" applyFont="1" applyFill="1" applyBorder="1" applyAlignment="1" applyProtection="1">
      <alignment horizontal="center"/>
      <protection locked="0"/>
    </xf>
    <xf numFmtId="0" fontId="7" fillId="0" borderId="5" xfId="0" applyFont="1" applyBorder="1" applyAlignment="1">
      <alignment horizontal="center" vertical="center"/>
    </xf>
    <xf numFmtId="14" fontId="7" fillId="0" borderId="5" xfId="1" applyNumberFormat="1" applyFont="1" applyBorder="1"/>
    <xf numFmtId="14" fontId="7" fillId="0" borderId="7" xfId="0" applyNumberFormat="1" applyFont="1" applyBorder="1"/>
    <xf numFmtId="165" fontId="7" fillId="0" borderId="5" xfId="0" applyNumberFormat="1" applyFont="1" applyBorder="1" applyAlignment="1">
      <alignment horizontal="center"/>
    </xf>
    <xf numFmtId="0" fontId="7" fillId="0" borderId="5" xfId="0" applyFont="1" applyBorder="1"/>
    <xf numFmtId="14" fontId="7" fillId="0" borderId="5" xfId="0" applyNumberFormat="1" applyFont="1" applyBorder="1"/>
    <xf numFmtId="0" fontId="7" fillId="0" borderId="7" xfId="0" applyFont="1" applyBorder="1"/>
    <xf numFmtId="0" fontId="9" fillId="0" borderId="0" xfId="0" applyFont="1"/>
    <xf numFmtId="164" fontId="10" fillId="6" borderId="0" xfId="1" applyFont="1" applyFill="1" applyAlignment="1" applyProtection="1">
      <alignment horizontal="center"/>
      <protection locked="0"/>
    </xf>
    <xf numFmtId="164" fontId="10" fillId="6" borderId="0" xfId="1" applyFont="1" applyFill="1"/>
    <xf numFmtId="165" fontId="10" fillId="6" borderId="0" xfId="1" applyNumberFormat="1" applyFont="1" applyFill="1" applyAlignment="1" applyProtection="1">
      <alignment horizontal="center"/>
      <protection locked="0"/>
    </xf>
    <xf numFmtId="166" fontId="10" fillId="6" borderId="0" xfId="1" applyNumberFormat="1" applyFont="1" applyFill="1" applyAlignment="1" applyProtection="1">
      <alignment horizontal="center"/>
      <protection locked="0"/>
    </xf>
    <xf numFmtId="167" fontId="10" fillId="6" borderId="0" xfId="1" applyNumberFormat="1" applyFont="1" applyFill="1" applyAlignment="1" applyProtection="1">
      <alignment horizontal="center"/>
      <protection locked="0"/>
    </xf>
    <xf numFmtId="166" fontId="10" fillId="6" borderId="1" xfId="1" applyNumberFormat="1" applyFont="1" applyFill="1" applyBorder="1" applyAlignment="1" applyProtection="1">
      <alignment horizontal="center"/>
      <protection locked="0"/>
    </xf>
    <xf numFmtId="165" fontId="10" fillId="6" borderId="1" xfId="1" applyNumberFormat="1" applyFont="1" applyFill="1" applyBorder="1" applyAlignment="1" applyProtection="1">
      <alignment horizontal="center"/>
      <protection locked="0"/>
    </xf>
    <xf numFmtId="164" fontId="10" fillId="6" borderId="0" xfId="1" applyFont="1" applyFill="1" applyAlignment="1" applyProtection="1">
      <alignment horizontal="left"/>
      <protection locked="0"/>
    </xf>
  </cellXfs>
  <cellStyles count="6">
    <cellStyle name="Excel Built-in Normal" xfId="1" xr:uid="{00000000-0005-0000-0000-000001000000}"/>
    <cellStyle name="Heading" xfId="2" xr:uid="{00000000-0005-0000-0000-000002000000}"/>
    <cellStyle name="Heading1" xfId="3" xr:uid="{00000000-0005-0000-0000-000003000000}"/>
    <cellStyle name="Normal" xfId="0" builtinId="0"/>
    <cellStyle name="Result" xfId="4" xr:uid="{00000000-0005-0000-0000-000004000000}"/>
    <cellStyle name="Result2" xfId="5" xr:uid="{00000000-0005-0000-0000-000005000000}"/>
  </cellStyles>
  <dxfs count="20">
    <dxf>
      <fill>
        <patternFill patternType="solid">
          <fgColor rgb="FFF2F2F2"/>
          <bgColor rgb="FFF2F2F2"/>
        </patternFill>
      </fill>
      <protection locked="0" hidden="0"/>
    </dxf>
    <dxf>
      <numFmt numFmtId="165" formatCode="&quot;$&quot;#,##0.00"/>
      <fill>
        <patternFill patternType="solid">
          <fgColor rgb="FFF2F2F2"/>
          <bgColor rgb="FFF2F2F2"/>
        </patternFill>
      </fill>
      <protection locked="0" hidden="0"/>
    </dxf>
    <dxf>
      <protection locked="0" hidden="0"/>
    </dxf>
    <dxf>
      <numFmt numFmtId="165" formatCode="&quot;$&quot;#,##0.00"/>
      <fill>
        <patternFill patternType="solid">
          <fgColor rgb="FFF2F2F2"/>
          <bgColor rgb="FFF2F2F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numFmt numFmtId="165" formatCode="&quot;$&quot;#,##0.00"/>
      <alignment horizontal="center" vertical="bottom" textRotation="0" wrapText="0" indent="0" justifyLastLine="0" shrinkToFit="0" readingOrder="0"/>
      <protection locked="0" hidden="0"/>
    </dxf>
    <dxf>
      <numFmt numFmtId="166" formatCode="[$-409]0"/>
      <fill>
        <patternFill patternType="solid">
          <fgColor rgb="FFF2F2F2"/>
          <bgColor rgb="FFF2F2F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numFmt numFmtId="167" formatCode="d\-mmm;@"/>
      <alignment horizontal="center" vertical="bottom" textRotation="0" wrapText="0" indent="0" justifyLastLine="0" shrinkToFit="0" readingOrder="0"/>
      <protection locked="0" hidden="0"/>
    </dxf>
    <dxf>
      <numFmt numFmtId="166" formatCode="[$-409]0"/>
      <alignment horizontal="center" vertical="bottom" textRotation="0" wrapText="0" indent="0" justifyLastLine="0" shrinkToFit="0" readingOrder="0"/>
      <protection locked="0" hidden="0"/>
    </dxf>
    <dxf>
      <numFmt numFmtId="165" formatCode="&quot;$&quot;#,##0.00"/>
      <alignment horizontal="center" vertical="bottom" textRotation="0" wrapText="0" indent="0" justifyLastLine="0" shrinkToFit="0" readingOrder="0"/>
      <protection locked="0" hidden="0"/>
    </dxf>
    <dxf>
      <numFmt numFmtId="166" formatCode="[$-409]0"/>
      <fill>
        <patternFill patternType="solid">
          <fgColor rgb="FFF2F2F2"/>
          <bgColor rgb="FFF2F2F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numFmt numFmtId="167" formatCode="d\-mmm;@"/>
      <alignment horizontal="center" vertical="bottom" textRotation="0" wrapText="0" indent="0" justifyLastLine="0" shrinkToFit="0" readingOrder="0"/>
      <protection locked="0" hidden="0"/>
    </dxf>
    <dxf>
      <numFmt numFmtId="166" formatCode="[$-409]0"/>
      <alignment horizontal="center" vertical="bottom" textRotation="0" wrapText="0" indent="0" justifyLastLine="0" shrinkToFit="0" readingOrder="0"/>
      <protection locked="0" hidden="0"/>
    </dxf>
    <dxf>
      <numFmt numFmtId="165" formatCode="&quot;$&quot;#,##0.00"/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numFmt numFmtId="165" formatCode="&quot;$&quot;#,##0.00"/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D1EC16-E994-477F-B419-BF9B87A4FBED}" name="Table1" displayName="Table1" ref="A1:T101" totalsRowShown="0">
  <autoFilter ref="A1:T101" xr:uid="{00000000-0009-0000-0000-000000000000}"/>
  <tableColumns count="20">
    <tableColumn id="1" xr3:uid="{44532E6C-7E73-41DC-BCF8-84DD924D37E1}" name="Symbol" dataDxfId="19" dataCellStyle="Excel Built-in Normal"/>
    <tableColumn id="2" xr3:uid="{DFFAFA40-0561-4F00-BE3A-7033A21C1859}" name="System" dataDxfId="18" dataCellStyle="Excel Built-in Normal"/>
    <tableColumn id="3" xr3:uid="{C0F78A76-ABE6-4224-9024-C03A2AB16613}" name="Trade Type" dataDxfId="17" dataCellStyle="Excel Built-in Normal"/>
    <tableColumn id="4" xr3:uid="{8DBDF2F2-D749-4165-A66D-871DEF3D9981}" name="Long" dataDxfId="16" dataCellStyle="Excel Built-in Normal"/>
    <tableColumn id="5" xr3:uid="{49AA4946-59AE-4E4F-8A93-9DE4699EB056}" name="Trade Date" dataDxfId="15" dataCellStyle="Excel Built-in Normal"/>
    <tableColumn id="6" xr3:uid="{EFE561BA-AC9B-4354-89C6-0DE084A2BE0A}" name="Entry Price" dataDxfId="14" dataCellStyle="Excel Built-in Normal"/>
    <tableColumn id="7" xr3:uid="{1858BC87-401C-4C6F-986B-3642ECED6D99}" name="Contracts" dataDxfId="13" dataCellStyle="Excel Built-in Normal"/>
    <tableColumn id="8" xr3:uid="{6620DEFB-CCCC-4549-AD37-FB156EF8D20D}" name="Exit #1" dataDxfId="12" dataCellStyle="Excel Built-in Normal"/>
    <tableColumn id="9" xr3:uid="{6C06DFE8-DB5B-4E62-870F-500A2F632659}" name="# Exited" dataDxfId="11" dataCellStyle="Excel Built-in Normal"/>
    <tableColumn id="10" xr3:uid="{005C53E0-BD5E-4E6A-BFD4-3008BC1E050F}" name="Exit Date" dataDxfId="10" dataCellStyle="Excel Built-in Normal"/>
    <tableColumn id="11" xr3:uid="{29707ED2-093A-4688-A6FC-F54684711161}" name="# of Days" dataDxfId="9" dataCellStyle="Excel Built-in Normal"/>
    <tableColumn id="12" xr3:uid="{2432638C-6394-4AD7-9FA8-F226A4F79D71}" name="Exit #2" dataDxfId="8" dataCellStyle="Excel Built-in Normal"/>
    <tableColumn id="13" xr3:uid="{402CD6DD-F61C-4853-9029-A7B543786C97}" name="# Exited2" dataDxfId="7" dataCellStyle="Excel Built-in Normal"/>
    <tableColumn id="14" xr3:uid="{9B61704B-9C60-4B42-933B-7626D35A211C}" name="Exit Date3" dataDxfId="6" dataCellStyle="Excel Built-in Normal"/>
    <tableColumn id="15" xr3:uid="{56E44C2B-7CC7-4846-B754-7E0BF9968DB9}" name="# of Days4" dataDxfId="5" dataCellStyle="Excel Built-in Normal"/>
    <tableColumn id="16" xr3:uid="{6D442B59-8802-46CB-9247-35E16FCF9170}" name="Comm." dataDxfId="4" dataCellStyle="Excel Built-in Normal"/>
    <tableColumn id="17" xr3:uid="{E11B8657-3BB7-4AE7-8883-99F37B2DFD86}" name="Gain/Loss" dataDxfId="3" dataCellStyle="Excel Built-in Normal"/>
    <tableColumn id="18" xr3:uid="{76DD639B-C4CD-44B8-94C8-451940EA615F}" name="Trade Comments" dataDxfId="2" dataCellStyle="Excel Built-in Normal"/>
    <tableColumn id="19" xr3:uid="{51BDBCD6-A5BC-4BF5-B163-C5B7CD040A46}" name="Exit #1 Gain" dataDxfId="1" dataCellStyle="Excel Built-in Normal"/>
    <tableColumn id="20" xr3:uid="{E78B5FDE-72AB-4C15-8403-E1289F37F0D0}" name="Exit #2 Gain" dataDxfId="0" dataCellStyle="Excel Built-in Norm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102"/>
  <sheetViews>
    <sheetView tabSelected="1" topLeftCell="A4" workbookViewId="0">
      <selection activeCell="B31" sqref="B31"/>
    </sheetView>
  </sheetViews>
  <sheetFormatPr defaultColWidth="9.125" defaultRowHeight="15" x14ac:dyDescent="0.25"/>
  <cols>
    <col min="1" max="1" width="9.125" style="3" customWidth="1"/>
    <col min="2" max="2" width="10.25" style="3" customWidth="1"/>
    <col min="3" max="3" width="12.875" style="3" customWidth="1"/>
    <col min="4" max="4" width="11.125" style="3" customWidth="1"/>
    <col min="5" max="5" width="12.625" style="3" customWidth="1"/>
    <col min="6" max="6" width="12.5" style="5" customWidth="1"/>
    <col min="7" max="7" width="11.375" style="3" customWidth="1"/>
    <col min="8" max="8" width="8.625" style="5" customWidth="1"/>
    <col min="9" max="9" width="9.875" style="6" customWidth="1"/>
    <col min="10" max="10" width="10.75" style="7" customWidth="1"/>
    <col min="11" max="11" width="10.75" style="21" customWidth="1"/>
    <col min="12" max="12" width="8.625" style="5" customWidth="1"/>
    <col min="13" max="13" width="10.875" style="6" customWidth="1"/>
    <col min="14" max="14" width="11.75" style="7" customWidth="1"/>
    <col min="15" max="15" width="11.75" style="21" customWidth="1"/>
    <col min="16" max="16" width="8.75" style="5" customWidth="1"/>
    <col min="17" max="17" width="11.75" style="22" customWidth="1"/>
    <col min="18" max="18" width="42.75" style="9" customWidth="1"/>
    <col min="19" max="19" width="13.25" style="23" customWidth="1"/>
    <col min="20" max="20" width="13.25" style="24" customWidth="1"/>
    <col min="21" max="1024" width="8.5" style="9" customWidth="1"/>
    <col min="1025" max="1025" width="9.125" customWidth="1"/>
  </cols>
  <sheetData>
    <row r="1" spans="1:22" s="1" customFormat="1" x14ac:dyDescent="0.25">
      <c r="A1" s="77" t="s">
        <v>0</v>
      </c>
      <c r="B1" s="77" t="s">
        <v>1</v>
      </c>
      <c r="C1" s="77" t="s">
        <v>2</v>
      </c>
      <c r="D1" s="78" t="s">
        <v>3</v>
      </c>
      <c r="E1" s="77" t="s">
        <v>4</v>
      </c>
      <c r="F1" s="79" t="s">
        <v>5</v>
      </c>
      <c r="G1" s="77" t="s">
        <v>6</v>
      </c>
      <c r="H1" s="79" t="s">
        <v>7</v>
      </c>
      <c r="I1" s="80" t="s">
        <v>8</v>
      </c>
      <c r="J1" s="81" t="s">
        <v>9</v>
      </c>
      <c r="K1" s="82" t="s">
        <v>10</v>
      </c>
      <c r="L1" s="79" t="s">
        <v>11</v>
      </c>
      <c r="M1" s="80" t="s">
        <v>97</v>
      </c>
      <c r="N1" s="81" t="s">
        <v>98</v>
      </c>
      <c r="O1" s="82" t="s">
        <v>99</v>
      </c>
      <c r="P1" s="79" t="s">
        <v>12</v>
      </c>
      <c r="Q1" s="83" t="s">
        <v>13</v>
      </c>
      <c r="R1" s="84" t="s">
        <v>14</v>
      </c>
      <c r="S1" s="79" t="s">
        <v>15</v>
      </c>
      <c r="T1" s="77" t="s">
        <v>16</v>
      </c>
    </row>
    <row r="2" spans="1:22" x14ac:dyDescent="0.25">
      <c r="A2" s="3" t="s">
        <v>17</v>
      </c>
      <c r="B2" s="3" t="s">
        <v>18</v>
      </c>
      <c r="C2" s="3" t="s">
        <v>19</v>
      </c>
      <c r="D2" s="3" t="s">
        <v>3</v>
      </c>
      <c r="E2" s="4">
        <v>45957</v>
      </c>
      <c r="F2" s="5">
        <v>6.2</v>
      </c>
      <c r="G2" s="3">
        <v>2</v>
      </c>
      <c r="H2" s="5">
        <v>4.7</v>
      </c>
      <c r="I2" s="6">
        <v>1</v>
      </c>
      <c r="J2" s="7">
        <v>45957</v>
      </c>
      <c r="K2" s="8">
        <f t="shared" ref="K2:K33" si="0">IF(J2="","",J2-E2)</f>
        <v>0</v>
      </c>
      <c r="L2" s="5">
        <v>4.3</v>
      </c>
      <c r="M2" s="6">
        <v>1</v>
      </c>
      <c r="N2" s="7">
        <v>45957</v>
      </c>
      <c r="O2" s="8">
        <f t="shared" ref="O2:O33" si="1">IF(N2="","",N2-J2)</f>
        <v>0</v>
      </c>
      <c r="Q2" s="50">
        <f t="shared" ref="Q2:Q33" si="2">IF(A2="","", S2+T2)</f>
        <v>-340</v>
      </c>
      <c r="S2" s="10">
        <f t="shared" ref="S2:S33" si="3">IF(D2="Long",((H2-F2)*I2),((F2-H2)*I2))*100</f>
        <v>-150</v>
      </c>
      <c r="T2" s="10">
        <f t="shared" ref="T2:T33" si="4">IF(D2="Long",((L2-F2)*M2),((F2-L2)*M2))*100</f>
        <v>-190.00000000000003</v>
      </c>
      <c r="V2" s="9" t="s">
        <v>20</v>
      </c>
    </row>
    <row r="3" spans="1:22" x14ac:dyDescent="0.25">
      <c r="A3" s="3" t="s">
        <v>21</v>
      </c>
      <c r="B3" s="3" t="s">
        <v>18</v>
      </c>
      <c r="C3" s="3" t="s">
        <v>19</v>
      </c>
      <c r="D3" s="3" t="s">
        <v>3</v>
      </c>
      <c r="E3" s="4">
        <v>45957</v>
      </c>
      <c r="F3" s="5">
        <v>17.350000000000001</v>
      </c>
      <c r="G3" s="3">
        <v>1</v>
      </c>
      <c r="H3" s="5">
        <v>21.75</v>
      </c>
      <c r="I3" s="6">
        <v>1</v>
      </c>
      <c r="J3" s="4">
        <v>45958</v>
      </c>
      <c r="K3" s="8">
        <f t="shared" si="0"/>
        <v>1</v>
      </c>
      <c r="O3" s="8" t="str">
        <f t="shared" si="1"/>
        <v/>
      </c>
      <c r="Q3" s="50">
        <f t="shared" si="2"/>
        <v>439.99999999999989</v>
      </c>
      <c r="S3" s="10">
        <f t="shared" si="3"/>
        <v>439.99999999999989</v>
      </c>
      <c r="T3" s="10">
        <f t="shared" si="4"/>
        <v>0</v>
      </c>
    </row>
    <row r="4" spans="1:22" x14ac:dyDescent="0.25">
      <c r="A4" s="3" t="s">
        <v>22</v>
      </c>
      <c r="B4" s="3" t="s">
        <v>18</v>
      </c>
      <c r="C4" s="3" t="s">
        <v>19</v>
      </c>
      <c r="D4" s="3" t="s">
        <v>3</v>
      </c>
      <c r="E4" s="4">
        <v>45958</v>
      </c>
      <c r="F4" s="5">
        <v>23.25</v>
      </c>
      <c r="G4" s="3">
        <v>1</v>
      </c>
      <c r="H4" s="5">
        <v>29.95</v>
      </c>
      <c r="I4" s="6">
        <v>1</v>
      </c>
      <c r="J4" s="4">
        <v>45958</v>
      </c>
      <c r="K4" s="8">
        <f t="shared" si="0"/>
        <v>0</v>
      </c>
      <c r="O4" s="8" t="str">
        <f t="shared" si="1"/>
        <v/>
      </c>
      <c r="Q4" s="50">
        <f t="shared" si="2"/>
        <v>669.99999999999989</v>
      </c>
      <c r="S4" s="10">
        <f t="shared" si="3"/>
        <v>669.99999999999989</v>
      </c>
      <c r="T4" s="10">
        <f t="shared" si="4"/>
        <v>0</v>
      </c>
    </row>
    <row r="5" spans="1:22" x14ac:dyDescent="0.25">
      <c r="A5" s="3" t="s">
        <v>23</v>
      </c>
      <c r="B5" s="3" t="s">
        <v>18</v>
      </c>
      <c r="C5" s="3" t="s">
        <v>19</v>
      </c>
      <c r="D5" s="3" t="s">
        <v>3</v>
      </c>
      <c r="E5" s="4">
        <v>45958</v>
      </c>
      <c r="F5" s="5">
        <v>11.15</v>
      </c>
      <c r="G5" s="3">
        <v>1</v>
      </c>
      <c r="H5" s="5">
        <v>13.4</v>
      </c>
      <c r="I5" s="6">
        <v>1</v>
      </c>
      <c r="J5" s="4">
        <v>45958</v>
      </c>
      <c r="K5" s="8">
        <f t="shared" si="0"/>
        <v>0</v>
      </c>
      <c r="O5" s="8" t="str">
        <f t="shared" si="1"/>
        <v/>
      </c>
      <c r="Q5" s="50">
        <f t="shared" si="2"/>
        <v>225</v>
      </c>
      <c r="S5" s="10">
        <f t="shared" si="3"/>
        <v>225</v>
      </c>
      <c r="T5" s="10">
        <f t="shared" si="4"/>
        <v>0</v>
      </c>
    </row>
    <row r="6" spans="1:22" x14ac:dyDescent="0.25">
      <c r="A6" s="3" t="s">
        <v>24</v>
      </c>
      <c r="B6" s="3" t="s">
        <v>18</v>
      </c>
      <c r="C6" s="3" t="s">
        <v>19</v>
      </c>
      <c r="D6" s="3" t="s">
        <v>3</v>
      </c>
      <c r="E6" s="4">
        <v>45950</v>
      </c>
      <c r="F6" s="5">
        <v>5.05</v>
      </c>
      <c r="G6" s="3">
        <v>3</v>
      </c>
      <c r="H6" s="5">
        <v>6.35</v>
      </c>
      <c r="I6" s="6">
        <v>1</v>
      </c>
      <c r="J6" s="7">
        <v>45954</v>
      </c>
      <c r="K6" s="8">
        <f t="shared" si="0"/>
        <v>4</v>
      </c>
      <c r="L6" s="5">
        <v>7.1</v>
      </c>
      <c r="M6" s="6">
        <v>1</v>
      </c>
      <c r="N6" s="7">
        <v>45964</v>
      </c>
      <c r="O6" s="8">
        <f t="shared" si="1"/>
        <v>10</v>
      </c>
      <c r="Q6" s="50">
        <f t="shared" si="2"/>
        <v>334.99999999999994</v>
      </c>
      <c r="R6" s="9" t="s">
        <v>25</v>
      </c>
      <c r="S6" s="10">
        <f t="shared" si="3"/>
        <v>129.99999999999997</v>
      </c>
      <c r="T6" s="10">
        <f t="shared" si="4"/>
        <v>204.99999999999997</v>
      </c>
    </row>
    <row r="7" spans="1:22" x14ac:dyDescent="0.25">
      <c r="A7" s="3" t="s">
        <v>26</v>
      </c>
      <c r="B7" s="3" t="s">
        <v>18</v>
      </c>
      <c r="C7" s="3" t="s">
        <v>19</v>
      </c>
      <c r="D7" s="3" t="s">
        <v>3</v>
      </c>
      <c r="E7" s="4">
        <v>45958</v>
      </c>
      <c r="F7" s="5">
        <v>15.8</v>
      </c>
      <c r="G7" s="3">
        <v>1</v>
      </c>
      <c r="H7" s="5">
        <v>19.8</v>
      </c>
      <c r="I7" s="6">
        <v>1</v>
      </c>
      <c r="J7" s="4">
        <v>45959</v>
      </c>
      <c r="K7" s="8">
        <f t="shared" si="0"/>
        <v>1</v>
      </c>
      <c r="O7" s="8" t="str">
        <f t="shared" si="1"/>
        <v/>
      </c>
      <c r="Q7" s="50">
        <f t="shared" si="2"/>
        <v>400</v>
      </c>
      <c r="R7" s="9" t="s">
        <v>27</v>
      </c>
      <c r="S7" s="10">
        <f t="shared" si="3"/>
        <v>400</v>
      </c>
      <c r="T7" s="10">
        <f t="shared" si="4"/>
        <v>0</v>
      </c>
    </row>
    <row r="8" spans="1:22" x14ac:dyDescent="0.25">
      <c r="A8" s="3" t="s">
        <v>28</v>
      </c>
      <c r="B8" s="3" t="s">
        <v>18</v>
      </c>
      <c r="C8" s="3" t="s">
        <v>19</v>
      </c>
      <c r="D8" s="3" t="s">
        <v>3</v>
      </c>
      <c r="E8" s="4">
        <v>45957</v>
      </c>
      <c r="F8" s="5">
        <v>4.4000000000000004</v>
      </c>
      <c r="G8" s="3">
        <v>3</v>
      </c>
      <c r="H8" s="5">
        <v>5</v>
      </c>
      <c r="I8" s="6">
        <v>3</v>
      </c>
      <c r="J8" s="7">
        <v>45957</v>
      </c>
      <c r="K8" s="8">
        <f t="shared" si="0"/>
        <v>0</v>
      </c>
      <c r="O8" s="8" t="str">
        <f t="shared" si="1"/>
        <v/>
      </c>
      <c r="Q8" s="50">
        <f t="shared" si="2"/>
        <v>179.99999999999989</v>
      </c>
      <c r="S8" s="10">
        <f t="shared" si="3"/>
        <v>179.99999999999989</v>
      </c>
      <c r="T8" s="10">
        <f t="shared" si="4"/>
        <v>0</v>
      </c>
    </row>
    <row r="9" spans="1:22" x14ac:dyDescent="0.25">
      <c r="A9" s="3" t="s">
        <v>29</v>
      </c>
      <c r="B9" s="3" t="s">
        <v>18</v>
      </c>
      <c r="C9" s="3" t="s">
        <v>19</v>
      </c>
      <c r="D9" s="3" t="s">
        <v>3</v>
      </c>
      <c r="E9" s="4">
        <v>45965</v>
      </c>
      <c r="F9" s="5">
        <v>4.9000000000000004</v>
      </c>
      <c r="G9" s="3">
        <v>2</v>
      </c>
      <c r="H9" s="5">
        <v>7.6</v>
      </c>
      <c r="I9" s="6">
        <v>1</v>
      </c>
      <c r="J9" s="4">
        <v>45966</v>
      </c>
      <c r="K9" s="8">
        <f t="shared" si="0"/>
        <v>1</v>
      </c>
      <c r="L9" s="5">
        <v>7.6</v>
      </c>
      <c r="M9" s="6">
        <v>1</v>
      </c>
      <c r="N9" s="4">
        <v>45967</v>
      </c>
      <c r="O9" s="8">
        <f t="shared" si="1"/>
        <v>1</v>
      </c>
      <c r="Q9" s="50">
        <f t="shared" si="2"/>
        <v>539.99999999999989</v>
      </c>
      <c r="S9" s="10">
        <f t="shared" si="3"/>
        <v>269.99999999999994</v>
      </c>
      <c r="T9" s="10">
        <f t="shared" si="4"/>
        <v>269.99999999999994</v>
      </c>
    </row>
    <row r="10" spans="1:22" x14ac:dyDescent="0.25">
      <c r="A10" s="3" t="s">
        <v>30</v>
      </c>
      <c r="B10" s="3" t="s">
        <v>31</v>
      </c>
      <c r="C10" s="3" t="s">
        <v>19</v>
      </c>
      <c r="D10" s="3" t="s">
        <v>3</v>
      </c>
      <c r="E10" s="4">
        <v>45965</v>
      </c>
      <c r="F10" s="5">
        <v>3.4</v>
      </c>
      <c r="G10" s="3">
        <v>2</v>
      </c>
      <c r="H10" s="5">
        <v>3.35</v>
      </c>
      <c r="I10" s="6">
        <v>1</v>
      </c>
      <c r="J10" s="4">
        <v>45967</v>
      </c>
      <c r="K10" s="8">
        <f t="shared" si="0"/>
        <v>2</v>
      </c>
      <c r="L10" s="5">
        <v>3.3</v>
      </c>
      <c r="M10" s="6">
        <v>1</v>
      </c>
      <c r="N10" s="4">
        <v>45967</v>
      </c>
      <c r="O10" s="8">
        <f t="shared" si="1"/>
        <v>0</v>
      </c>
      <c r="Q10" s="50">
        <f t="shared" si="2"/>
        <v>-14.999999999999991</v>
      </c>
      <c r="S10" s="10">
        <f t="shared" si="3"/>
        <v>-4.9999999999999822</v>
      </c>
      <c r="T10" s="10">
        <f t="shared" si="4"/>
        <v>-10.000000000000009</v>
      </c>
    </row>
    <row r="11" spans="1:22" x14ac:dyDescent="0.25">
      <c r="A11" s="3" t="s">
        <v>32</v>
      </c>
      <c r="B11" s="3" t="s">
        <v>18</v>
      </c>
      <c r="C11" s="3" t="s">
        <v>19</v>
      </c>
      <c r="D11" s="3" t="s">
        <v>3</v>
      </c>
      <c r="E11" s="4">
        <v>45979</v>
      </c>
      <c r="F11" s="5">
        <v>2.77</v>
      </c>
      <c r="G11" s="3">
        <v>4</v>
      </c>
      <c r="H11" s="5">
        <v>2.79</v>
      </c>
      <c r="I11" s="6">
        <v>2</v>
      </c>
      <c r="J11" s="7">
        <v>45979</v>
      </c>
      <c r="K11" s="8">
        <f t="shared" si="0"/>
        <v>0</v>
      </c>
      <c r="L11" s="5">
        <v>3.49</v>
      </c>
      <c r="M11" s="6">
        <v>2</v>
      </c>
      <c r="N11" s="7">
        <v>45979</v>
      </c>
      <c r="O11" s="8">
        <f t="shared" si="1"/>
        <v>0</v>
      </c>
      <c r="Q11" s="50">
        <f t="shared" si="2"/>
        <v>148.00000000000003</v>
      </c>
      <c r="S11" s="10">
        <f t="shared" si="3"/>
        <v>4.0000000000000036</v>
      </c>
      <c r="T11" s="10">
        <f t="shared" si="4"/>
        <v>144.00000000000003</v>
      </c>
    </row>
    <row r="12" spans="1:22" x14ac:dyDescent="0.25">
      <c r="A12" s="3" t="s">
        <v>33</v>
      </c>
      <c r="B12" s="3" t="s">
        <v>18</v>
      </c>
      <c r="C12" s="3" t="s">
        <v>19</v>
      </c>
      <c r="D12" s="3" t="s">
        <v>3</v>
      </c>
      <c r="E12" s="4">
        <v>45980</v>
      </c>
      <c r="F12" s="5">
        <v>2.86</v>
      </c>
      <c r="G12" s="3">
        <v>3</v>
      </c>
      <c r="H12" s="5">
        <v>3.72</v>
      </c>
      <c r="I12" s="6">
        <v>3</v>
      </c>
      <c r="J12" s="7">
        <v>45980</v>
      </c>
      <c r="K12" s="8">
        <f t="shared" si="0"/>
        <v>0</v>
      </c>
      <c r="O12" s="8" t="str">
        <f t="shared" si="1"/>
        <v/>
      </c>
      <c r="Q12" s="50">
        <f t="shared" si="2"/>
        <v>258.00000000000011</v>
      </c>
      <c r="S12" s="10">
        <f t="shared" si="3"/>
        <v>258.00000000000011</v>
      </c>
      <c r="T12" s="10">
        <f t="shared" si="4"/>
        <v>0</v>
      </c>
    </row>
    <row r="13" spans="1:22" x14ac:dyDescent="0.25">
      <c r="A13" s="3" t="s">
        <v>34</v>
      </c>
      <c r="B13" s="3" t="s">
        <v>18</v>
      </c>
      <c r="C13" s="3" t="s">
        <v>19</v>
      </c>
      <c r="D13" s="3" t="s">
        <v>3</v>
      </c>
      <c r="E13" s="4">
        <v>45980</v>
      </c>
      <c r="F13" s="5">
        <v>19</v>
      </c>
      <c r="G13" s="3">
        <v>1</v>
      </c>
      <c r="H13" s="5">
        <v>29</v>
      </c>
      <c r="I13" s="6">
        <v>1</v>
      </c>
      <c r="J13" s="7">
        <v>46001</v>
      </c>
      <c r="K13" s="8">
        <f t="shared" si="0"/>
        <v>21</v>
      </c>
      <c r="O13" s="8" t="str">
        <f t="shared" si="1"/>
        <v/>
      </c>
      <c r="Q13" s="50">
        <f t="shared" si="2"/>
        <v>1000</v>
      </c>
      <c r="R13" s="9" t="s">
        <v>35</v>
      </c>
      <c r="S13" s="10">
        <f t="shared" si="3"/>
        <v>1000</v>
      </c>
      <c r="T13" s="10">
        <f t="shared" si="4"/>
        <v>0</v>
      </c>
    </row>
    <row r="14" spans="1:22" x14ac:dyDescent="0.25">
      <c r="A14" s="3" t="s">
        <v>36</v>
      </c>
      <c r="B14" s="3" t="s">
        <v>18</v>
      </c>
      <c r="C14" s="3" t="s">
        <v>19</v>
      </c>
      <c r="D14" s="3" t="s">
        <v>3</v>
      </c>
      <c r="E14" s="4">
        <v>45980</v>
      </c>
      <c r="F14" s="5">
        <v>0.45</v>
      </c>
      <c r="G14" s="3">
        <v>5</v>
      </c>
      <c r="H14" s="5">
        <v>0.41</v>
      </c>
      <c r="I14" s="6">
        <v>5</v>
      </c>
      <c r="J14" s="7">
        <v>45992</v>
      </c>
      <c r="K14" s="8">
        <f t="shared" si="0"/>
        <v>12</v>
      </c>
      <c r="O14" s="8" t="str">
        <f t="shared" si="1"/>
        <v/>
      </c>
      <c r="Q14" s="50">
        <f t="shared" si="2"/>
        <v>-20.000000000000018</v>
      </c>
      <c r="S14" s="10">
        <f t="shared" si="3"/>
        <v>-20.000000000000018</v>
      </c>
      <c r="T14" s="10">
        <f t="shared" si="4"/>
        <v>0</v>
      </c>
    </row>
    <row r="15" spans="1:22" x14ac:dyDescent="0.25">
      <c r="A15" s="3" t="s">
        <v>37</v>
      </c>
      <c r="B15" s="3" t="s">
        <v>18</v>
      </c>
      <c r="C15" s="3" t="s">
        <v>19</v>
      </c>
      <c r="D15" s="3" t="s">
        <v>3</v>
      </c>
      <c r="E15" s="4">
        <v>45992</v>
      </c>
      <c r="F15" s="5">
        <v>6.15</v>
      </c>
      <c r="G15" s="3">
        <v>1</v>
      </c>
      <c r="H15" s="5">
        <v>10.83</v>
      </c>
      <c r="I15" s="6">
        <v>1</v>
      </c>
      <c r="J15" s="7">
        <v>46000</v>
      </c>
      <c r="K15" s="8">
        <f t="shared" si="0"/>
        <v>8</v>
      </c>
      <c r="O15" s="8" t="str">
        <f t="shared" si="1"/>
        <v/>
      </c>
      <c r="Q15" s="50">
        <f t="shared" si="2"/>
        <v>468</v>
      </c>
      <c r="S15" s="10">
        <f t="shared" si="3"/>
        <v>468</v>
      </c>
      <c r="T15" s="10">
        <f t="shared" si="4"/>
        <v>0</v>
      </c>
    </row>
    <row r="16" spans="1:22" x14ac:dyDescent="0.25">
      <c r="A16" s="3" t="s">
        <v>38</v>
      </c>
      <c r="B16" s="3" t="s">
        <v>18</v>
      </c>
      <c r="C16" s="3" t="s">
        <v>19</v>
      </c>
      <c r="D16" s="3" t="s">
        <v>3</v>
      </c>
      <c r="E16" s="4">
        <v>45992</v>
      </c>
      <c r="F16" s="5">
        <v>0.74</v>
      </c>
      <c r="G16" s="3">
        <v>16</v>
      </c>
      <c r="H16" s="5">
        <v>1.27</v>
      </c>
      <c r="I16" s="6">
        <v>16</v>
      </c>
      <c r="J16" s="7">
        <v>46001</v>
      </c>
      <c r="K16" s="8">
        <f t="shared" si="0"/>
        <v>9</v>
      </c>
      <c r="O16" s="8" t="str">
        <f t="shared" si="1"/>
        <v/>
      </c>
      <c r="Q16" s="50">
        <f t="shared" si="2"/>
        <v>848</v>
      </c>
      <c r="S16" s="10">
        <f t="shared" si="3"/>
        <v>848</v>
      </c>
      <c r="T16" s="10">
        <f t="shared" si="4"/>
        <v>0</v>
      </c>
    </row>
    <row r="17" spans="1:20" x14ac:dyDescent="0.25">
      <c r="A17" s="3" t="s">
        <v>39</v>
      </c>
      <c r="B17" s="3" t="s">
        <v>18</v>
      </c>
      <c r="C17" s="3" t="s">
        <v>19</v>
      </c>
      <c r="D17" s="3" t="s">
        <v>3</v>
      </c>
      <c r="E17" s="4">
        <v>45994</v>
      </c>
      <c r="F17" s="5">
        <v>7.45</v>
      </c>
      <c r="G17" s="3">
        <v>1</v>
      </c>
      <c r="H17" s="5">
        <v>0.93</v>
      </c>
      <c r="I17" s="6">
        <v>1</v>
      </c>
      <c r="J17" s="7">
        <v>46008</v>
      </c>
      <c r="K17" s="8">
        <f t="shared" si="0"/>
        <v>14</v>
      </c>
      <c r="O17" s="8" t="str">
        <f t="shared" si="1"/>
        <v/>
      </c>
      <c r="Q17" s="50">
        <f t="shared" si="2"/>
        <v>-652</v>
      </c>
      <c r="S17" s="10">
        <f t="shared" si="3"/>
        <v>-652</v>
      </c>
      <c r="T17" s="10">
        <f t="shared" si="4"/>
        <v>0</v>
      </c>
    </row>
    <row r="18" spans="1:20" x14ac:dyDescent="0.25">
      <c r="A18" s="3" t="s">
        <v>40</v>
      </c>
      <c r="B18" s="3" t="s">
        <v>18</v>
      </c>
      <c r="C18" s="3" t="s">
        <v>19</v>
      </c>
      <c r="D18" s="3" t="s">
        <v>3</v>
      </c>
      <c r="E18" s="4">
        <v>45994</v>
      </c>
      <c r="F18" s="5">
        <v>18.5</v>
      </c>
      <c r="G18" s="3">
        <v>1</v>
      </c>
      <c r="H18" s="5">
        <v>34.9</v>
      </c>
      <c r="I18" s="6">
        <v>1</v>
      </c>
      <c r="J18" s="7">
        <v>46002</v>
      </c>
      <c r="K18" s="8">
        <f t="shared" si="0"/>
        <v>8</v>
      </c>
      <c r="O18" s="8" t="str">
        <f t="shared" si="1"/>
        <v/>
      </c>
      <c r="Q18" s="50">
        <f t="shared" si="2"/>
        <v>1639.9999999999998</v>
      </c>
      <c r="S18" s="10">
        <f t="shared" si="3"/>
        <v>1639.9999999999998</v>
      </c>
      <c r="T18" s="10">
        <f t="shared" si="4"/>
        <v>0</v>
      </c>
    </row>
    <row r="19" spans="1:20" x14ac:dyDescent="0.25">
      <c r="A19" s="3" t="s">
        <v>41</v>
      </c>
      <c r="B19" s="3" t="s">
        <v>18</v>
      </c>
      <c r="C19" s="3" t="s">
        <v>19</v>
      </c>
      <c r="D19" s="3" t="s">
        <v>3</v>
      </c>
      <c r="E19" s="4">
        <v>45994</v>
      </c>
      <c r="F19" s="5">
        <v>8.0500000000000007</v>
      </c>
      <c r="G19" s="3">
        <v>1</v>
      </c>
      <c r="H19" s="5">
        <v>9.75</v>
      </c>
      <c r="I19" s="6">
        <v>1</v>
      </c>
      <c r="J19" s="7">
        <v>45995</v>
      </c>
      <c r="K19" s="8">
        <f t="shared" si="0"/>
        <v>1</v>
      </c>
      <c r="O19" s="8" t="str">
        <f t="shared" si="1"/>
        <v/>
      </c>
      <c r="Q19" s="50">
        <f t="shared" si="2"/>
        <v>169.99999999999994</v>
      </c>
      <c r="S19" s="10">
        <f t="shared" si="3"/>
        <v>169.99999999999994</v>
      </c>
      <c r="T19" s="10">
        <f t="shared" si="4"/>
        <v>0</v>
      </c>
    </row>
    <row r="20" spans="1:20" x14ac:dyDescent="0.25">
      <c r="A20" s="3" t="s">
        <v>42</v>
      </c>
      <c r="B20" s="3" t="s">
        <v>18</v>
      </c>
      <c r="C20" s="3" t="s">
        <v>19</v>
      </c>
      <c r="D20" s="3" t="s">
        <v>3</v>
      </c>
      <c r="E20" s="4">
        <v>45995</v>
      </c>
      <c r="F20" s="5">
        <v>1.68</v>
      </c>
      <c r="G20" s="3">
        <v>10</v>
      </c>
      <c r="H20" s="5">
        <v>4.1500000000000004</v>
      </c>
      <c r="I20" s="6">
        <v>8</v>
      </c>
      <c r="J20" s="7">
        <v>45995</v>
      </c>
      <c r="K20" s="8">
        <f t="shared" si="0"/>
        <v>0</v>
      </c>
      <c r="L20" s="5">
        <v>2.1800000000000002</v>
      </c>
      <c r="M20" s="6">
        <v>2</v>
      </c>
      <c r="N20" s="7">
        <v>45999</v>
      </c>
      <c r="O20" s="8">
        <f t="shared" si="1"/>
        <v>4</v>
      </c>
      <c r="Q20" s="50">
        <f t="shared" si="2"/>
        <v>2076.0000000000005</v>
      </c>
      <c r="R20" s="9" t="s">
        <v>43</v>
      </c>
      <c r="S20" s="10">
        <f t="shared" si="3"/>
        <v>1976.0000000000005</v>
      </c>
      <c r="T20" s="10">
        <f t="shared" si="4"/>
        <v>100.00000000000004</v>
      </c>
    </row>
    <row r="21" spans="1:20" x14ac:dyDescent="0.25">
      <c r="A21" s="3" t="s">
        <v>44</v>
      </c>
      <c r="B21" s="3" t="s">
        <v>100</v>
      </c>
      <c r="C21" s="3" t="s">
        <v>19</v>
      </c>
      <c r="D21" s="3" t="s">
        <v>3</v>
      </c>
      <c r="E21" s="4">
        <v>45995</v>
      </c>
      <c r="F21" s="5">
        <v>1.65</v>
      </c>
      <c r="G21" s="3">
        <v>1</v>
      </c>
      <c r="H21" s="5">
        <v>5.45</v>
      </c>
      <c r="I21" s="6">
        <v>1</v>
      </c>
      <c r="J21" s="7">
        <v>46001</v>
      </c>
      <c r="K21" s="8">
        <f t="shared" si="0"/>
        <v>6</v>
      </c>
      <c r="O21" s="8" t="str">
        <f t="shared" si="1"/>
        <v/>
      </c>
      <c r="Q21" s="50">
        <f t="shared" si="2"/>
        <v>380</v>
      </c>
      <c r="S21" s="10">
        <f t="shared" si="3"/>
        <v>380</v>
      </c>
      <c r="T21" s="10">
        <f t="shared" si="4"/>
        <v>0</v>
      </c>
    </row>
    <row r="22" spans="1:20" x14ac:dyDescent="0.25">
      <c r="A22" s="3" t="s">
        <v>45</v>
      </c>
      <c r="B22" s="3" t="s">
        <v>31</v>
      </c>
      <c r="C22" s="3" t="s">
        <v>19</v>
      </c>
      <c r="D22" s="3" t="s">
        <v>3</v>
      </c>
      <c r="E22" s="4">
        <v>45995</v>
      </c>
      <c r="F22" s="5">
        <v>5.45</v>
      </c>
      <c r="G22" s="3">
        <v>2</v>
      </c>
      <c r="H22" s="5">
        <v>11.15</v>
      </c>
      <c r="I22" s="6">
        <v>1</v>
      </c>
      <c r="J22" s="7">
        <v>46002</v>
      </c>
      <c r="K22" s="8">
        <f t="shared" si="0"/>
        <v>7</v>
      </c>
      <c r="L22" s="5">
        <v>11.15</v>
      </c>
      <c r="M22" s="6">
        <v>1</v>
      </c>
      <c r="N22" s="7">
        <v>46002</v>
      </c>
      <c r="O22" s="8">
        <f t="shared" si="1"/>
        <v>0</v>
      </c>
      <c r="Q22" s="50">
        <f t="shared" si="2"/>
        <v>1140</v>
      </c>
      <c r="S22" s="10">
        <f t="shared" si="3"/>
        <v>570</v>
      </c>
      <c r="T22" s="10">
        <f t="shared" si="4"/>
        <v>570</v>
      </c>
    </row>
    <row r="23" spans="1:20" x14ac:dyDescent="0.25">
      <c r="A23" s="3" t="s">
        <v>46</v>
      </c>
      <c r="B23" s="3" t="s">
        <v>18</v>
      </c>
      <c r="C23" s="3" t="s">
        <v>19</v>
      </c>
      <c r="D23" s="3" t="s">
        <v>3</v>
      </c>
      <c r="E23" s="4">
        <v>45995</v>
      </c>
      <c r="F23" s="5">
        <v>0.4</v>
      </c>
      <c r="G23" s="3">
        <v>20</v>
      </c>
      <c r="H23" s="5">
        <v>0.4</v>
      </c>
      <c r="I23" s="6">
        <v>20</v>
      </c>
      <c r="J23" s="7">
        <v>45996</v>
      </c>
      <c r="K23" s="8">
        <f t="shared" si="0"/>
        <v>1</v>
      </c>
      <c r="O23" s="8" t="str">
        <f t="shared" si="1"/>
        <v/>
      </c>
      <c r="Q23" s="50">
        <f t="shared" si="2"/>
        <v>0</v>
      </c>
      <c r="S23" s="10">
        <f t="shared" si="3"/>
        <v>0</v>
      </c>
      <c r="T23" s="10">
        <f t="shared" si="4"/>
        <v>0</v>
      </c>
    </row>
    <row r="24" spans="1:20" x14ac:dyDescent="0.25">
      <c r="A24" s="3" t="s">
        <v>47</v>
      </c>
      <c r="B24" s="3" t="s">
        <v>18</v>
      </c>
      <c r="C24" s="3" t="s">
        <v>19</v>
      </c>
      <c r="D24" s="3" t="s">
        <v>3</v>
      </c>
      <c r="E24" s="4">
        <v>45996</v>
      </c>
      <c r="F24" s="5">
        <v>2.4</v>
      </c>
      <c r="G24" s="3">
        <v>3</v>
      </c>
      <c r="H24" s="5">
        <v>2.4700000000000002</v>
      </c>
      <c r="I24" s="6">
        <v>3</v>
      </c>
      <c r="J24" s="7">
        <v>45996</v>
      </c>
      <c r="K24" s="8">
        <f t="shared" si="0"/>
        <v>0</v>
      </c>
      <c r="O24" s="8" t="str">
        <f t="shared" si="1"/>
        <v/>
      </c>
      <c r="Q24" s="50">
        <f t="shared" si="2"/>
        <v>21.000000000000085</v>
      </c>
      <c r="S24" s="10">
        <f t="shared" si="3"/>
        <v>21.000000000000085</v>
      </c>
      <c r="T24" s="10">
        <f t="shared" si="4"/>
        <v>0</v>
      </c>
    </row>
    <row r="25" spans="1:20" x14ac:dyDescent="0.25">
      <c r="A25" s="3" t="s">
        <v>46</v>
      </c>
      <c r="B25" s="3" t="s">
        <v>18</v>
      </c>
      <c r="C25" s="3" t="s">
        <v>19</v>
      </c>
      <c r="D25" s="3" t="s">
        <v>3</v>
      </c>
      <c r="E25" s="4">
        <v>45996</v>
      </c>
      <c r="F25" s="5">
        <v>0.45</v>
      </c>
      <c r="G25" s="3">
        <v>5</v>
      </c>
      <c r="H25" s="5">
        <v>0.45</v>
      </c>
      <c r="I25" s="6">
        <v>5</v>
      </c>
      <c r="J25" s="7">
        <v>45996</v>
      </c>
      <c r="K25" s="8">
        <f t="shared" si="0"/>
        <v>0</v>
      </c>
      <c r="O25" s="8" t="str">
        <f t="shared" si="1"/>
        <v/>
      </c>
      <c r="Q25" s="50">
        <f t="shared" si="2"/>
        <v>0</v>
      </c>
      <c r="S25" s="10">
        <f t="shared" si="3"/>
        <v>0</v>
      </c>
      <c r="T25" s="10">
        <f t="shared" si="4"/>
        <v>0</v>
      </c>
    </row>
    <row r="26" spans="1:20" x14ac:dyDescent="0.25">
      <c r="A26" s="3" t="s">
        <v>46</v>
      </c>
      <c r="B26" s="3" t="s">
        <v>18</v>
      </c>
      <c r="C26" s="3" t="s">
        <v>19</v>
      </c>
      <c r="D26" s="3" t="s">
        <v>3</v>
      </c>
      <c r="E26" s="4">
        <v>45996</v>
      </c>
      <c r="F26" s="5">
        <v>0.46</v>
      </c>
      <c r="G26" s="3">
        <v>10</v>
      </c>
      <c r="H26" s="5">
        <v>0</v>
      </c>
      <c r="I26" s="6">
        <v>10</v>
      </c>
      <c r="J26" s="7">
        <v>46010</v>
      </c>
      <c r="K26" s="8">
        <f t="shared" si="0"/>
        <v>14</v>
      </c>
      <c r="O26" s="8" t="str">
        <f t="shared" si="1"/>
        <v/>
      </c>
      <c r="Q26" s="50">
        <f t="shared" si="2"/>
        <v>-460.00000000000006</v>
      </c>
      <c r="R26" s="9" t="s">
        <v>48</v>
      </c>
      <c r="S26" s="10">
        <f t="shared" si="3"/>
        <v>-460.00000000000006</v>
      </c>
      <c r="T26" s="10">
        <f t="shared" si="4"/>
        <v>0</v>
      </c>
    </row>
    <row r="27" spans="1:20" x14ac:dyDescent="0.25">
      <c r="A27" s="3" t="s">
        <v>49</v>
      </c>
      <c r="B27" s="3" t="s">
        <v>18</v>
      </c>
      <c r="C27" s="3" t="s">
        <v>19</v>
      </c>
      <c r="D27" s="3" t="s">
        <v>3</v>
      </c>
      <c r="E27" s="4">
        <v>45996</v>
      </c>
      <c r="F27" s="5">
        <v>3.56</v>
      </c>
      <c r="G27" s="3">
        <v>3</v>
      </c>
      <c r="H27" s="5">
        <v>7.6</v>
      </c>
      <c r="I27" s="6">
        <v>3</v>
      </c>
      <c r="J27" s="7">
        <v>46007</v>
      </c>
      <c r="K27" s="8">
        <f t="shared" si="0"/>
        <v>11</v>
      </c>
      <c r="O27" s="8" t="str">
        <f t="shared" si="1"/>
        <v/>
      </c>
      <c r="Q27" s="50">
        <f t="shared" si="2"/>
        <v>1211.9999999999998</v>
      </c>
      <c r="S27" s="10">
        <f t="shared" si="3"/>
        <v>1211.9999999999998</v>
      </c>
      <c r="T27" s="10">
        <f t="shared" si="4"/>
        <v>0</v>
      </c>
    </row>
    <row r="28" spans="1:20" x14ac:dyDescent="0.25">
      <c r="A28" s="3" t="s">
        <v>50</v>
      </c>
      <c r="B28" s="3" t="s">
        <v>18</v>
      </c>
      <c r="C28" s="3" t="s">
        <v>19</v>
      </c>
      <c r="D28" s="3" t="s">
        <v>3</v>
      </c>
      <c r="E28" s="4">
        <v>45999</v>
      </c>
      <c r="F28" s="5">
        <v>5.25</v>
      </c>
      <c r="G28" s="3">
        <v>1</v>
      </c>
      <c r="H28" s="5">
        <v>6.4</v>
      </c>
      <c r="I28" s="6">
        <v>1</v>
      </c>
      <c r="J28" s="7">
        <v>46001</v>
      </c>
      <c r="K28" s="8">
        <f t="shared" si="0"/>
        <v>2</v>
      </c>
      <c r="O28" s="8" t="str">
        <f t="shared" si="1"/>
        <v/>
      </c>
      <c r="Q28" s="50">
        <f t="shared" si="2"/>
        <v>115.00000000000003</v>
      </c>
      <c r="S28" s="10">
        <f t="shared" si="3"/>
        <v>115.00000000000003</v>
      </c>
      <c r="T28" s="10">
        <f t="shared" si="4"/>
        <v>0</v>
      </c>
    </row>
    <row r="29" spans="1:20" x14ac:dyDescent="0.25">
      <c r="A29" s="3" t="s">
        <v>51</v>
      </c>
      <c r="B29" s="3" t="s">
        <v>18</v>
      </c>
      <c r="C29" s="3" t="s">
        <v>19</v>
      </c>
      <c r="D29" s="3" t="s">
        <v>3</v>
      </c>
      <c r="E29" s="4">
        <v>46000</v>
      </c>
      <c r="F29" s="5">
        <v>31.65</v>
      </c>
      <c r="G29" s="3">
        <v>1</v>
      </c>
      <c r="H29" s="5">
        <v>17.05</v>
      </c>
      <c r="I29" s="6">
        <v>1</v>
      </c>
      <c r="J29" s="7">
        <v>46001</v>
      </c>
      <c r="K29" s="8">
        <f t="shared" si="0"/>
        <v>1</v>
      </c>
      <c r="O29" s="8" t="str">
        <f t="shared" si="1"/>
        <v/>
      </c>
      <c r="Q29" s="50">
        <f t="shared" si="2"/>
        <v>-1459.9999999999998</v>
      </c>
      <c r="R29" s="9" t="s">
        <v>52</v>
      </c>
      <c r="S29" s="10">
        <f t="shared" si="3"/>
        <v>-1459.9999999999998</v>
      </c>
      <c r="T29" s="10">
        <f t="shared" si="4"/>
        <v>0</v>
      </c>
    </row>
    <row r="30" spans="1:20" x14ac:dyDescent="0.25">
      <c r="A30" s="3" t="s">
        <v>53</v>
      </c>
      <c r="B30" s="3" t="s">
        <v>18</v>
      </c>
      <c r="C30" s="3" t="s">
        <v>19</v>
      </c>
      <c r="D30" s="3" t="s">
        <v>3</v>
      </c>
      <c r="E30" s="4">
        <v>46002</v>
      </c>
      <c r="F30" s="5">
        <v>1.32</v>
      </c>
      <c r="G30" s="3">
        <v>10</v>
      </c>
      <c r="H30" s="5">
        <v>1.1599999999999999</v>
      </c>
      <c r="I30" s="6">
        <v>10</v>
      </c>
      <c r="J30" s="7">
        <v>46002</v>
      </c>
      <c r="K30" s="8">
        <f t="shared" si="0"/>
        <v>0</v>
      </c>
      <c r="O30" s="8" t="str">
        <f t="shared" si="1"/>
        <v/>
      </c>
      <c r="Q30" s="50">
        <f t="shared" si="2"/>
        <v>-160.00000000000014</v>
      </c>
      <c r="S30" s="10">
        <f t="shared" si="3"/>
        <v>-160.00000000000014</v>
      </c>
      <c r="T30" s="10">
        <f t="shared" si="4"/>
        <v>0</v>
      </c>
    </row>
    <row r="31" spans="1:20" x14ac:dyDescent="0.25">
      <c r="A31" s="3" t="s">
        <v>54</v>
      </c>
      <c r="B31" s="3" t="s">
        <v>18</v>
      </c>
      <c r="C31" s="3" t="s">
        <v>19</v>
      </c>
      <c r="D31" s="3" t="s">
        <v>3</v>
      </c>
      <c r="E31" s="4">
        <v>46007</v>
      </c>
      <c r="F31" s="5">
        <v>1.1200000000000001</v>
      </c>
      <c r="G31" s="3">
        <v>4</v>
      </c>
      <c r="H31" s="5">
        <v>1.1599999999999999</v>
      </c>
      <c r="I31" s="6">
        <v>4</v>
      </c>
      <c r="J31" s="7">
        <v>46007</v>
      </c>
      <c r="K31" s="8">
        <f t="shared" si="0"/>
        <v>0</v>
      </c>
      <c r="O31" s="8" t="str">
        <f t="shared" si="1"/>
        <v/>
      </c>
      <c r="Q31" s="50">
        <f t="shared" si="2"/>
        <v>15.999999999999925</v>
      </c>
      <c r="S31" s="10">
        <f t="shared" si="3"/>
        <v>15.999999999999925</v>
      </c>
      <c r="T31" s="10">
        <f t="shared" si="4"/>
        <v>0</v>
      </c>
    </row>
    <row r="32" spans="1:20" x14ac:dyDescent="0.25">
      <c r="A32" s="3" t="s">
        <v>55</v>
      </c>
      <c r="B32" s="3" t="s">
        <v>56</v>
      </c>
      <c r="C32" s="3" t="s">
        <v>19</v>
      </c>
      <c r="D32" s="3" t="s">
        <v>3</v>
      </c>
      <c r="E32" s="4">
        <v>46007</v>
      </c>
      <c r="F32" s="5">
        <v>2.4900000000000002</v>
      </c>
      <c r="G32" s="3">
        <v>2</v>
      </c>
      <c r="H32" s="5">
        <v>2.4900000000000002</v>
      </c>
      <c r="I32" s="6">
        <v>2</v>
      </c>
      <c r="J32" s="7">
        <v>46007</v>
      </c>
      <c r="K32" s="8">
        <f t="shared" si="0"/>
        <v>0</v>
      </c>
      <c r="O32" s="8" t="str">
        <f t="shared" si="1"/>
        <v/>
      </c>
      <c r="Q32" s="50">
        <f t="shared" si="2"/>
        <v>0</v>
      </c>
      <c r="S32" s="10">
        <f t="shared" si="3"/>
        <v>0</v>
      </c>
      <c r="T32" s="10">
        <f t="shared" si="4"/>
        <v>0</v>
      </c>
    </row>
    <row r="33" spans="1:20" x14ac:dyDescent="0.25">
      <c r="A33" s="3" t="s">
        <v>55</v>
      </c>
      <c r="B33" s="3" t="s">
        <v>56</v>
      </c>
      <c r="C33" s="3" t="s">
        <v>19</v>
      </c>
      <c r="D33" s="3" t="s">
        <v>3</v>
      </c>
      <c r="E33" s="4">
        <v>46007</v>
      </c>
      <c r="F33" s="5">
        <v>2.44</v>
      </c>
      <c r="G33" s="3">
        <v>2</v>
      </c>
      <c r="H33" s="5">
        <v>4.25</v>
      </c>
      <c r="I33" s="6">
        <v>2</v>
      </c>
      <c r="J33" s="7">
        <v>46013</v>
      </c>
      <c r="K33" s="8">
        <f t="shared" si="0"/>
        <v>6</v>
      </c>
      <c r="O33" s="8" t="str">
        <f t="shared" si="1"/>
        <v/>
      </c>
      <c r="Q33" s="50">
        <f t="shared" si="2"/>
        <v>362</v>
      </c>
      <c r="S33" s="10">
        <f t="shared" si="3"/>
        <v>362</v>
      </c>
      <c r="T33" s="10">
        <f t="shared" si="4"/>
        <v>0</v>
      </c>
    </row>
    <row r="34" spans="1:20" x14ac:dyDescent="0.25">
      <c r="A34" s="3" t="s">
        <v>57</v>
      </c>
      <c r="B34" s="3" t="s">
        <v>31</v>
      </c>
      <c r="C34" s="3" t="s">
        <v>19</v>
      </c>
      <c r="D34" s="3" t="s">
        <v>3</v>
      </c>
      <c r="E34" s="4">
        <v>46008</v>
      </c>
      <c r="F34" s="5">
        <v>5.9</v>
      </c>
      <c r="G34" s="3">
        <v>3</v>
      </c>
      <c r="H34" s="5">
        <v>3.2</v>
      </c>
      <c r="I34" s="6">
        <v>3</v>
      </c>
      <c r="J34" s="7">
        <v>46008</v>
      </c>
      <c r="K34" s="8">
        <f t="shared" ref="K34:K65" si="5">IF(J34="","",J34-E34)</f>
        <v>0</v>
      </c>
      <c r="O34" s="8" t="str">
        <f t="shared" ref="O34:O65" si="6">IF(N34="","",N34-J34)</f>
        <v/>
      </c>
      <c r="Q34" s="50">
        <f t="shared" ref="Q34:Q65" si="7">IF(A34="","", S34+T34)</f>
        <v>-810.00000000000011</v>
      </c>
      <c r="S34" s="10">
        <f t="shared" ref="S34:S65" si="8">IF(D34="Long",((H34-F34)*I34),((F34-H34)*I34))*100</f>
        <v>-810.00000000000011</v>
      </c>
      <c r="T34" s="10">
        <f t="shared" ref="T34:T65" si="9">IF(D34="Long",((L34-F34)*M34),((F34-L34)*M34))*100</f>
        <v>0</v>
      </c>
    </row>
    <row r="35" spans="1:20" x14ac:dyDescent="0.25">
      <c r="A35" s="3" t="s">
        <v>58</v>
      </c>
      <c r="B35" s="3" t="s">
        <v>31</v>
      </c>
      <c r="C35" s="3" t="s">
        <v>19</v>
      </c>
      <c r="D35" s="3" t="s">
        <v>3</v>
      </c>
      <c r="E35" s="4">
        <v>46008</v>
      </c>
      <c r="F35" s="5">
        <v>6.65</v>
      </c>
      <c r="G35" s="3">
        <v>2</v>
      </c>
      <c r="H35" s="5">
        <v>3.2</v>
      </c>
      <c r="I35" s="6">
        <v>3</v>
      </c>
      <c r="J35" s="7">
        <v>46008</v>
      </c>
      <c r="K35" s="8">
        <f t="shared" si="5"/>
        <v>0</v>
      </c>
      <c r="O35" s="8" t="str">
        <f t="shared" si="6"/>
        <v/>
      </c>
      <c r="Q35" s="50">
        <f t="shared" si="7"/>
        <v>-1035.0000000000002</v>
      </c>
      <c r="S35" s="10">
        <f t="shared" si="8"/>
        <v>-1035.0000000000002</v>
      </c>
      <c r="T35" s="10">
        <f t="shared" si="9"/>
        <v>0</v>
      </c>
    </row>
    <row r="36" spans="1:20" x14ac:dyDescent="0.25">
      <c r="A36" s="3" t="s">
        <v>59</v>
      </c>
      <c r="B36" s="3" t="s">
        <v>31</v>
      </c>
      <c r="C36" s="3" t="s">
        <v>19</v>
      </c>
      <c r="D36" s="3" t="s">
        <v>3</v>
      </c>
      <c r="E36" s="4">
        <v>46008</v>
      </c>
      <c r="F36" s="5">
        <v>29.3</v>
      </c>
      <c r="G36" s="3">
        <v>1</v>
      </c>
      <c r="H36" s="5">
        <v>21.35</v>
      </c>
      <c r="I36" s="6">
        <v>1</v>
      </c>
      <c r="J36" s="7">
        <v>46008</v>
      </c>
      <c r="K36" s="8">
        <f t="shared" si="5"/>
        <v>0</v>
      </c>
      <c r="O36" s="8" t="str">
        <f t="shared" si="6"/>
        <v/>
      </c>
      <c r="Q36" s="50">
        <f t="shared" si="7"/>
        <v>-794.99999999999989</v>
      </c>
      <c r="S36" s="10">
        <f t="shared" si="8"/>
        <v>-794.99999999999989</v>
      </c>
      <c r="T36" s="10">
        <f t="shared" si="9"/>
        <v>0</v>
      </c>
    </row>
    <row r="37" spans="1:20" x14ac:dyDescent="0.25">
      <c r="A37" s="3" t="s">
        <v>60</v>
      </c>
      <c r="B37" s="3" t="s">
        <v>31</v>
      </c>
      <c r="C37" s="3" t="s">
        <v>19</v>
      </c>
      <c r="D37" s="3" t="s">
        <v>3</v>
      </c>
      <c r="E37" s="4">
        <v>46008</v>
      </c>
      <c r="F37" s="5">
        <v>3.7</v>
      </c>
      <c r="G37" s="3">
        <v>2</v>
      </c>
      <c r="K37" s="8" t="str">
        <f t="shared" si="5"/>
        <v/>
      </c>
      <c r="O37" s="8" t="str">
        <f t="shared" si="6"/>
        <v/>
      </c>
      <c r="Q37" s="50">
        <f t="shared" si="7"/>
        <v>0</v>
      </c>
      <c r="S37" s="10">
        <f t="shared" si="8"/>
        <v>0</v>
      </c>
      <c r="T37" s="10">
        <f t="shared" si="9"/>
        <v>0</v>
      </c>
    </row>
    <row r="38" spans="1:20" x14ac:dyDescent="0.25">
      <c r="A38" s="3" t="s">
        <v>61</v>
      </c>
      <c r="B38" s="3" t="s">
        <v>31</v>
      </c>
      <c r="C38" s="3" t="s">
        <v>19</v>
      </c>
      <c r="D38" s="3" t="s">
        <v>3</v>
      </c>
      <c r="E38" s="4">
        <v>46010</v>
      </c>
      <c r="F38" s="5">
        <v>0.17</v>
      </c>
      <c r="G38" s="3">
        <v>20</v>
      </c>
      <c r="K38" s="8" t="str">
        <f t="shared" si="5"/>
        <v/>
      </c>
      <c r="O38" s="8" t="str">
        <f t="shared" si="6"/>
        <v/>
      </c>
      <c r="Q38" s="50">
        <f t="shared" si="7"/>
        <v>0</v>
      </c>
      <c r="S38" s="10">
        <f t="shared" si="8"/>
        <v>0</v>
      </c>
      <c r="T38" s="10">
        <f t="shared" si="9"/>
        <v>0</v>
      </c>
    </row>
    <row r="39" spans="1:20" x14ac:dyDescent="0.25">
      <c r="A39" s="3" t="s">
        <v>62</v>
      </c>
      <c r="B39" s="3" t="s">
        <v>31</v>
      </c>
      <c r="C39" s="3" t="s">
        <v>19</v>
      </c>
      <c r="D39" s="3" t="s">
        <v>3</v>
      </c>
      <c r="E39" s="4">
        <v>46020</v>
      </c>
      <c r="F39" s="5">
        <v>1.88</v>
      </c>
      <c r="G39" s="3">
        <v>6</v>
      </c>
      <c r="H39" s="5">
        <v>1.25</v>
      </c>
      <c r="I39" s="6">
        <v>6</v>
      </c>
      <c r="J39" s="7">
        <v>46027</v>
      </c>
      <c r="K39" s="8">
        <f t="shared" si="5"/>
        <v>7</v>
      </c>
      <c r="O39" s="8" t="str">
        <f t="shared" si="6"/>
        <v/>
      </c>
      <c r="Q39" s="50">
        <f t="shared" si="7"/>
        <v>-377.99999999999994</v>
      </c>
      <c r="S39" s="10">
        <f t="shared" si="8"/>
        <v>-377.99999999999994</v>
      </c>
      <c r="T39" s="10">
        <f t="shared" si="9"/>
        <v>0</v>
      </c>
    </row>
    <row r="40" spans="1:20" x14ac:dyDescent="0.25">
      <c r="A40" s="3" t="s">
        <v>63</v>
      </c>
      <c r="B40" s="3" t="s">
        <v>64</v>
      </c>
      <c r="C40" s="3" t="s">
        <v>19</v>
      </c>
      <c r="D40" s="3" t="s">
        <v>3</v>
      </c>
      <c r="E40" s="4">
        <v>46027</v>
      </c>
      <c r="K40" s="8" t="str">
        <f t="shared" si="5"/>
        <v/>
      </c>
      <c r="O40" s="8" t="str">
        <f t="shared" si="6"/>
        <v/>
      </c>
      <c r="Q40" s="50">
        <f t="shared" si="7"/>
        <v>0</v>
      </c>
      <c r="S40" s="10">
        <f t="shared" si="8"/>
        <v>0</v>
      </c>
      <c r="T40" s="10">
        <f t="shared" si="9"/>
        <v>0</v>
      </c>
    </row>
    <row r="41" spans="1:20" x14ac:dyDescent="0.25">
      <c r="E41" s="4"/>
      <c r="K41" s="8" t="str">
        <f t="shared" si="5"/>
        <v/>
      </c>
      <c r="O41" s="8" t="str">
        <f t="shared" si="6"/>
        <v/>
      </c>
      <c r="Q41" s="50" t="str">
        <f t="shared" si="7"/>
        <v/>
      </c>
      <c r="S41" s="10">
        <f t="shared" si="8"/>
        <v>0</v>
      </c>
      <c r="T41" s="10">
        <f t="shared" si="9"/>
        <v>0</v>
      </c>
    </row>
    <row r="42" spans="1:20" x14ac:dyDescent="0.25">
      <c r="E42" s="11"/>
      <c r="K42" s="8" t="str">
        <f t="shared" si="5"/>
        <v/>
      </c>
      <c r="O42" s="8" t="str">
        <f t="shared" si="6"/>
        <v/>
      </c>
      <c r="Q42" s="50" t="str">
        <f t="shared" si="7"/>
        <v/>
      </c>
      <c r="S42" s="10">
        <f t="shared" si="8"/>
        <v>0</v>
      </c>
      <c r="T42" s="10">
        <f t="shared" si="9"/>
        <v>0</v>
      </c>
    </row>
    <row r="43" spans="1:20" x14ac:dyDescent="0.25">
      <c r="K43" s="8" t="str">
        <f t="shared" si="5"/>
        <v/>
      </c>
      <c r="O43" s="8" t="str">
        <f t="shared" si="6"/>
        <v/>
      </c>
      <c r="Q43" s="50" t="str">
        <f t="shared" si="7"/>
        <v/>
      </c>
      <c r="S43" s="10">
        <f t="shared" si="8"/>
        <v>0</v>
      </c>
      <c r="T43" s="10">
        <f t="shared" si="9"/>
        <v>0</v>
      </c>
    </row>
    <row r="44" spans="1:20" x14ac:dyDescent="0.25">
      <c r="K44" s="8" t="str">
        <f t="shared" si="5"/>
        <v/>
      </c>
      <c r="O44" s="8" t="str">
        <f t="shared" si="6"/>
        <v/>
      </c>
      <c r="Q44" s="50" t="str">
        <f t="shared" si="7"/>
        <v/>
      </c>
      <c r="S44" s="10">
        <f t="shared" si="8"/>
        <v>0</v>
      </c>
      <c r="T44" s="10">
        <f t="shared" si="9"/>
        <v>0</v>
      </c>
    </row>
    <row r="45" spans="1:20" x14ac:dyDescent="0.25">
      <c r="E45" s="4"/>
      <c r="K45" s="8" t="str">
        <f t="shared" si="5"/>
        <v/>
      </c>
      <c r="O45" s="8" t="str">
        <f t="shared" si="6"/>
        <v/>
      </c>
      <c r="Q45" s="50" t="str">
        <f t="shared" si="7"/>
        <v/>
      </c>
      <c r="S45" s="10">
        <f t="shared" si="8"/>
        <v>0</v>
      </c>
      <c r="T45" s="10">
        <f t="shared" si="9"/>
        <v>0</v>
      </c>
    </row>
    <row r="46" spans="1:20" x14ac:dyDescent="0.25">
      <c r="E46" s="4"/>
      <c r="K46" s="8" t="str">
        <f t="shared" si="5"/>
        <v/>
      </c>
      <c r="O46" s="8" t="str">
        <f t="shared" si="6"/>
        <v/>
      </c>
      <c r="Q46" s="50" t="str">
        <f t="shared" si="7"/>
        <v/>
      </c>
      <c r="S46" s="10">
        <f t="shared" si="8"/>
        <v>0</v>
      </c>
      <c r="T46" s="10">
        <f t="shared" si="9"/>
        <v>0</v>
      </c>
    </row>
    <row r="47" spans="1:20" x14ac:dyDescent="0.25">
      <c r="K47" s="8" t="str">
        <f t="shared" si="5"/>
        <v/>
      </c>
      <c r="O47" s="8" t="str">
        <f t="shared" si="6"/>
        <v/>
      </c>
      <c r="Q47" s="50" t="str">
        <f t="shared" si="7"/>
        <v/>
      </c>
      <c r="S47" s="10">
        <f t="shared" si="8"/>
        <v>0</v>
      </c>
      <c r="T47" s="10">
        <f t="shared" si="9"/>
        <v>0</v>
      </c>
    </row>
    <row r="48" spans="1:20" x14ac:dyDescent="0.25">
      <c r="K48" s="8" t="str">
        <f t="shared" si="5"/>
        <v/>
      </c>
      <c r="O48" s="8" t="str">
        <f t="shared" si="6"/>
        <v/>
      </c>
      <c r="Q48" s="50" t="str">
        <f t="shared" si="7"/>
        <v/>
      </c>
      <c r="S48" s="10">
        <f t="shared" si="8"/>
        <v>0</v>
      </c>
      <c r="T48" s="10">
        <f t="shared" si="9"/>
        <v>0</v>
      </c>
    </row>
    <row r="49" spans="11:20" x14ac:dyDescent="0.25">
      <c r="K49" s="8" t="str">
        <f t="shared" si="5"/>
        <v/>
      </c>
      <c r="O49" s="8" t="str">
        <f t="shared" si="6"/>
        <v/>
      </c>
      <c r="Q49" s="50" t="str">
        <f t="shared" si="7"/>
        <v/>
      </c>
      <c r="S49" s="10">
        <f t="shared" si="8"/>
        <v>0</v>
      </c>
      <c r="T49" s="10">
        <f t="shared" si="9"/>
        <v>0</v>
      </c>
    </row>
    <row r="50" spans="11:20" x14ac:dyDescent="0.25">
      <c r="K50" s="8" t="str">
        <f t="shared" si="5"/>
        <v/>
      </c>
      <c r="O50" s="8" t="str">
        <f t="shared" si="6"/>
        <v/>
      </c>
      <c r="Q50" s="50" t="str">
        <f t="shared" si="7"/>
        <v/>
      </c>
      <c r="S50" s="10">
        <f t="shared" si="8"/>
        <v>0</v>
      </c>
      <c r="T50" s="10">
        <f t="shared" si="9"/>
        <v>0</v>
      </c>
    </row>
    <row r="51" spans="11:20" x14ac:dyDescent="0.25">
      <c r="K51" s="8" t="str">
        <f t="shared" si="5"/>
        <v/>
      </c>
      <c r="O51" s="8" t="str">
        <f t="shared" si="6"/>
        <v/>
      </c>
      <c r="Q51" s="50" t="str">
        <f t="shared" si="7"/>
        <v/>
      </c>
      <c r="S51" s="10">
        <f t="shared" si="8"/>
        <v>0</v>
      </c>
      <c r="T51" s="10">
        <f t="shared" si="9"/>
        <v>0</v>
      </c>
    </row>
    <row r="52" spans="11:20" x14ac:dyDescent="0.25">
      <c r="K52" s="8" t="str">
        <f t="shared" si="5"/>
        <v/>
      </c>
      <c r="O52" s="8" t="str">
        <f t="shared" si="6"/>
        <v/>
      </c>
      <c r="Q52" s="50" t="str">
        <f t="shared" si="7"/>
        <v/>
      </c>
      <c r="S52" s="10">
        <f t="shared" si="8"/>
        <v>0</v>
      </c>
      <c r="T52" s="10">
        <f t="shared" si="9"/>
        <v>0</v>
      </c>
    </row>
    <row r="53" spans="11:20" x14ac:dyDescent="0.25">
      <c r="K53" s="8" t="str">
        <f t="shared" si="5"/>
        <v/>
      </c>
      <c r="O53" s="8" t="str">
        <f t="shared" si="6"/>
        <v/>
      </c>
      <c r="Q53" s="50" t="str">
        <f t="shared" si="7"/>
        <v/>
      </c>
      <c r="S53" s="10">
        <f t="shared" si="8"/>
        <v>0</v>
      </c>
      <c r="T53" s="10">
        <f t="shared" si="9"/>
        <v>0</v>
      </c>
    </row>
    <row r="54" spans="11:20" x14ac:dyDescent="0.25">
      <c r="K54" s="8" t="str">
        <f t="shared" si="5"/>
        <v/>
      </c>
      <c r="O54" s="8" t="str">
        <f t="shared" si="6"/>
        <v/>
      </c>
      <c r="Q54" s="50" t="str">
        <f t="shared" si="7"/>
        <v/>
      </c>
      <c r="S54" s="10">
        <f t="shared" si="8"/>
        <v>0</v>
      </c>
      <c r="T54" s="10">
        <f t="shared" si="9"/>
        <v>0</v>
      </c>
    </row>
    <row r="55" spans="11:20" x14ac:dyDescent="0.25">
      <c r="K55" s="8" t="str">
        <f t="shared" si="5"/>
        <v/>
      </c>
      <c r="O55" s="8" t="str">
        <f t="shared" si="6"/>
        <v/>
      </c>
      <c r="Q55" s="50" t="str">
        <f t="shared" si="7"/>
        <v/>
      </c>
      <c r="S55" s="10">
        <f t="shared" si="8"/>
        <v>0</v>
      </c>
      <c r="T55" s="10">
        <f t="shared" si="9"/>
        <v>0</v>
      </c>
    </row>
    <row r="56" spans="11:20" x14ac:dyDescent="0.25">
      <c r="K56" s="8" t="str">
        <f t="shared" si="5"/>
        <v/>
      </c>
      <c r="O56" s="8" t="str">
        <f t="shared" si="6"/>
        <v/>
      </c>
      <c r="Q56" s="50" t="str">
        <f t="shared" si="7"/>
        <v/>
      </c>
      <c r="S56" s="10">
        <f t="shared" si="8"/>
        <v>0</v>
      </c>
      <c r="T56" s="10">
        <f t="shared" si="9"/>
        <v>0</v>
      </c>
    </row>
    <row r="57" spans="11:20" x14ac:dyDescent="0.25">
      <c r="K57" s="8" t="str">
        <f t="shared" si="5"/>
        <v/>
      </c>
      <c r="O57" s="8" t="str">
        <f t="shared" si="6"/>
        <v/>
      </c>
      <c r="Q57" s="50" t="str">
        <f t="shared" si="7"/>
        <v/>
      </c>
      <c r="S57" s="10">
        <f t="shared" si="8"/>
        <v>0</v>
      </c>
      <c r="T57" s="10">
        <f t="shared" si="9"/>
        <v>0</v>
      </c>
    </row>
    <row r="58" spans="11:20" x14ac:dyDescent="0.25">
      <c r="K58" s="8" t="str">
        <f t="shared" si="5"/>
        <v/>
      </c>
      <c r="O58" s="8" t="str">
        <f t="shared" si="6"/>
        <v/>
      </c>
      <c r="Q58" s="50" t="str">
        <f t="shared" si="7"/>
        <v/>
      </c>
      <c r="S58" s="10">
        <f t="shared" si="8"/>
        <v>0</v>
      </c>
      <c r="T58" s="10">
        <f t="shared" si="9"/>
        <v>0</v>
      </c>
    </row>
    <row r="59" spans="11:20" x14ac:dyDescent="0.25">
      <c r="K59" s="8" t="str">
        <f t="shared" si="5"/>
        <v/>
      </c>
      <c r="O59" s="8" t="str">
        <f t="shared" si="6"/>
        <v/>
      </c>
      <c r="Q59" s="50" t="str">
        <f t="shared" si="7"/>
        <v/>
      </c>
      <c r="S59" s="10">
        <f t="shared" si="8"/>
        <v>0</v>
      </c>
      <c r="T59" s="10">
        <f t="shared" si="9"/>
        <v>0</v>
      </c>
    </row>
    <row r="60" spans="11:20" x14ac:dyDescent="0.25">
      <c r="K60" s="8" t="str">
        <f t="shared" si="5"/>
        <v/>
      </c>
      <c r="O60" s="8" t="str">
        <f t="shared" si="6"/>
        <v/>
      </c>
      <c r="Q60" s="50" t="str">
        <f t="shared" si="7"/>
        <v/>
      </c>
      <c r="S60" s="10">
        <f t="shared" si="8"/>
        <v>0</v>
      </c>
      <c r="T60" s="10">
        <f t="shared" si="9"/>
        <v>0</v>
      </c>
    </row>
    <row r="61" spans="11:20" x14ac:dyDescent="0.25">
      <c r="K61" s="8" t="str">
        <f t="shared" si="5"/>
        <v/>
      </c>
      <c r="O61" s="8" t="str">
        <f t="shared" si="6"/>
        <v/>
      </c>
      <c r="Q61" s="50" t="str">
        <f t="shared" si="7"/>
        <v/>
      </c>
      <c r="S61" s="10">
        <f t="shared" si="8"/>
        <v>0</v>
      </c>
      <c r="T61" s="10">
        <f t="shared" si="9"/>
        <v>0</v>
      </c>
    </row>
    <row r="62" spans="11:20" x14ac:dyDescent="0.25">
      <c r="K62" s="8" t="str">
        <f t="shared" si="5"/>
        <v/>
      </c>
      <c r="O62" s="8" t="str">
        <f t="shared" si="6"/>
        <v/>
      </c>
      <c r="Q62" s="50" t="str">
        <f t="shared" si="7"/>
        <v/>
      </c>
      <c r="S62" s="10">
        <f t="shared" si="8"/>
        <v>0</v>
      </c>
      <c r="T62" s="10">
        <f t="shared" si="9"/>
        <v>0</v>
      </c>
    </row>
    <row r="63" spans="11:20" x14ac:dyDescent="0.25">
      <c r="K63" s="8" t="str">
        <f t="shared" si="5"/>
        <v/>
      </c>
      <c r="O63" s="8" t="str">
        <f t="shared" si="6"/>
        <v/>
      </c>
      <c r="Q63" s="50" t="str">
        <f t="shared" si="7"/>
        <v/>
      </c>
      <c r="S63" s="10">
        <f t="shared" si="8"/>
        <v>0</v>
      </c>
      <c r="T63" s="10">
        <f t="shared" si="9"/>
        <v>0</v>
      </c>
    </row>
    <row r="64" spans="11:20" x14ac:dyDescent="0.25">
      <c r="K64" s="8" t="str">
        <f t="shared" si="5"/>
        <v/>
      </c>
      <c r="O64" s="8" t="str">
        <f t="shared" si="6"/>
        <v/>
      </c>
      <c r="Q64" s="50" t="str">
        <f t="shared" si="7"/>
        <v/>
      </c>
      <c r="S64" s="10">
        <f t="shared" si="8"/>
        <v>0</v>
      </c>
      <c r="T64" s="10">
        <f t="shared" si="9"/>
        <v>0</v>
      </c>
    </row>
    <row r="65" spans="11:20" x14ac:dyDescent="0.25">
      <c r="K65" s="8" t="str">
        <f t="shared" si="5"/>
        <v/>
      </c>
      <c r="O65" s="8" t="str">
        <f t="shared" si="6"/>
        <v/>
      </c>
      <c r="Q65" s="50" t="str">
        <f t="shared" si="7"/>
        <v/>
      </c>
      <c r="S65" s="10">
        <f t="shared" si="8"/>
        <v>0</v>
      </c>
      <c r="T65" s="10">
        <f t="shared" si="9"/>
        <v>0</v>
      </c>
    </row>
    <row r="66" spans="11:20" x14ac:dyDescent="0.25">
      <c r="K66" s="8" t="str">
        <f t="shared" ref="K66:K94" si="10">IF(J66="","",J66-E66)</f>
        <v/>
      </c>
      <c r="O66" s="8" t="str">
        <f t="shared" ref="O66:O94" si="11">IF(N66="","",N66-J66)</f>
        <v/>
      </c>
      <c r="Q66" s="50" t="str">
        <f t="shared" ref="Q66:Q94" si="12">IF(A66="","", S66+T66)</f>
        <v/>
      </c>
      <c r="S66" s="10">
        <f t="shared" ref="S66:S94" si="13">IF(D66="Long",((H66-F66)*I66),((F66-H66)*I66))*100</f>
        <v>0</v>
      </c>
      <c r="T66" s="10">
        <f t="shared" ref="T66:T94" si="14">IF(D66="Long",((L66-F66)*M66),((F66-L66)*M66))*100</f>
        <v>0</v>
      </c>
    </row>
    <row r="67" spans="11:20" x14ac:dyDescent="0.25">
      <c r="K67" s="8" t="str">
        <f t="shared" si="10"/>
        <v/>
      </c>
      <c r="O67" s="8" t="str">
        <f t="shared" si="11"/>
        <v/>
      </c>
      <c r="Q67" s="50" t="str">
        <f t="shared" si="12"/>
        <v/>
      </c>
      <c r="S67" s="10">
        <f t="shared" si="13"/>
        <v>0</v>
      </c>
      <c r="T67" s="10">
        <f t="shared" si="14"/>
        <v>0</v>
      </c>
    </row>
    <row r="68" spans="11:20" x14ac:dyDescent="0.25">
      <c r="K68" s="8" t="str">
        <f t="shared" si="10"/>
        <v/>
      </c>
      <c r="O68" s="8" t="str">
        <f t="shared" si="11"/>
        <v/>
      </c>
      <c r="Q68" s="50" t="str">
        <f t="shared" si="12"/>
        <v/>
      </c>
      <c r="S68" s="10">
        <f t="shared" si="13"/>
        <v>0</v>
      </c>
      <c r="T68" s="10">
        <f t="shared" si="14"/>
        <v>0</v>
      </c>
    </row>
    <row r="69" spans="11:20" x14ac:dyDescent="0.25">
      <c r="K69" s="8" t="str">
        <f t="shared" si="10"/>
        <v/>
      </c>
      <c r="O69" s="8" t="str">
        <f t="shared" si="11"/>
        <v/>
      </c>
      <c r="Q69" s="50" t="str">
        <f t="shared" si="12"/>
        <v/>
      </c>
      <c r="S69" s="10">
        <f t="shared" si="13"/>
        <v>0</v>
      </c>
      <c r="T69" s="10">
        <f t="shared" si="14"/>
        <v>0</v>
      </c>
    </row>
    <row r="70" spans="11:20" x14ac:dyDescent="0.25">
      <c r="K70" s="8" t="str">
        <f t="shared" si="10"/>
        <v/>
      </c>
      <c r="O70" s="8" t="str">
        <f t="shared" si="11"/>
        <v/>
      </c>
      <c r="Q70" s="50" t="str">
        <f t="shared" si="12"/>
        <v/>
      </c>
      <c r="S70" s="10">
        <f t="shared" si="13"/>
        <v>0</v>
      </c>
      <c r="T70" s="10">
        <f t="shared" si="14"/>
        <v>0</v>
      </c>
    </row>
    <row r="71" spans="11:20" x14ac:dyDescent="0.25">
      <c r="K71" s="8" t="str">
        <f t="shared" si="10"/>
        <v/>
      </c>
      <c r="O71" s="8" t="str">
        <f t="shared" si="11"/>
        <v/>
      </c>
      <c r="Q71" s="50" t="str">
        <f t="shared" si="12"/>
        <v/>
      </c>
      <c r="S71" s="10">
        <f t="shared" si="13"/>
        <v>0</v>
      </c>
      <c r="T71" s="10">
        <f t="shared" si="14"/>
        <v>0</v>
      </c>
    </row>
    <row r="72" spans="11:20" x14ac:dyDescent="0.25">
      <c r="K72" s="8" t="str">
        <f t="shared" si="10"/>
        <v/>
      </c>
      <c r="O72" s="8" t="str">
        <f t="shared" si="11"/>
        <v/>
      </c>
      <c r="Q72" s="50" t="str">
        <f t="shared" si="12"/>
        <v/>
      </c>
      <c r="S72" s="10">
        <f t="shared" si="13"/>
        <v>0</v>
      </c>
      <c r="T72" s="10">
        <f t="shared" si="14"/>
        <v>0</v>
      </c>
    </row>
    <row r="73" spans="11:20" x14ac:dyDescent="0.25">
      <c r="K73" s="8" t="str">
        <f t="shared" si="10"/>
        <v/>
      </c>
      <c r="O73" s="8" t="str">
        <f t="shared" si="11"/>
        <v/>
      </c>
      <c r="Q73" s="50" t="str">
        <f t="shared" si="12"/>
        <v/>
      </c>
      <c r="S73" s="10">
        <f t="shared" si="13"/>
        <v>0</v>
      </c>
      <c r="T73" s="10">
        <f t="shared" si="14"/>
        <v>0</v>
      </c>
    </row>
    <row r="74" spans="11:20" x14ac:dyDescent="0.25">
      <c r="K74" s="8" t="str">
        <f t="shared" si="10"/>
        <v/>
      </c>
      <c r="O74" s="8" t="str">
        <f t="shared" si="11"/>
        <v/>
      </c>
      <c r="Q74" s="50" t="str">
        <f t="shared" si="12"/>
        <v/>
      </c>
      <c r="S74" s="10">
        <f t="shared" si="13"/>
        <v>0</v>
      </c>
      <c r="T74" s="10">
        <f t="shared" si="14"/>
        <v>0</v>
      </c>
    </row>
    <row r="75" spans="11:20" x14ac:dyDescent="0.25">
      <c r="K75" s="8" t="str">
        <f t="shared" si="10"/>
        <v/>
      </c>
      <c r="O75" s="8" t="str">
        <f t="shared" si="11"/>
        <v/>
      </c>
      <c r="Q75" s="50" t="str">
        <f t="shared" si="12"/>
        <v/>
      </c>
      <c r="S75" s="10">
        <f t="shared" si="13"/>
        <v>0</v>
      </c>
      <c r="T75" s="10">
        <f t="shared" si="14"/>
        <v>0</v>
      </c>
    </row>
    <row r="76" spans="11:20" x14ac:dyDescent="0.25">
      <c r="K76" s="8" t="str">
        <f t="shared" si="10"/>
        <v/>
      </c>
      <c r="O76" s="8" t="str">
        <f t="shared" si="11"/>
        <v/>
      </c>
      <c r="Q76" s="50" t="str">
        <f t="shared" si="12"/>
        <v/>
      </c>
      <c r="S76" s="10">
        <f t="shared" si="13"/>
        <v>0</v>
      </c>
      <c r="T76" s="10">
        <f t="shared" si="14"/>
        <v>0</v>
      </c>
    </row>
    <row r="77" spans="11:20" x14ac:dyDescent="0.25">
      <c r="K77" s="8" t="str">
        <f t="shared" si="10"/>
        <v/>
      </c>
      <c r="O77" s="8" t="str">
        <f t="shared" si="11"/>
        <v/>
      </c>
      <c r="Q77" s="50" t="str">
        <f t="shared" si="12"/>
        <v/>
      </c>
      <c r="S77" s="10">
        <f t="shared" si="13"/>
        <v>0</v>
      </c>
      <c r="T77" s="10">
        <f t="shared" si="14"/>
        <v>0</v>
      </c>
    </row>
    <row r="78" spans="11:20" x14ac:dyDescent="0.25">
      <c r="K78" s="8" t="str">
        <f t="shared" si="10"/>
        <v/>
      </c>
      <c r="O78" s="8" t="str">
        <f t="shared" si="11"/>
        <v/>
      </c>
      <c r="Q78" s="50" t="str">
        <f t="shared" si="12"/>
        <v/>
      </c>
      <c r="S78" s="10">
        <f t="shared" si="13"/>
        <v>0</v>
      </c>
      <c r="T78" s="10">
        <f t="shared" si="14"/>
        <v>0</v>
      </c>
    </row>
    <row r="79" spans="11:20" x14ac:dyDescent="0.25">
      <c r="K79" s="8" t="str">
        <f t="shared" si="10"/>
        <v/>
      </c>
      <c r="O79" s="8" t="str">
        <f t="shared" si="11"/>
        <v/>
      </c>
      <c r="Q79" s="50" t="str">
        <f t="shared" si="12"/>
        <v/>
      </c>
      <c r="S79" s="10">
        <f t="shared" si="13"/>
        <v>0</v>
      </c>
      <c r="T79" s="10">
        <f t="shared" si="14"/>
        <v>0</v>
      </c>
    </row>
    <row r="80" spans="11:20" x14ac:dyDescent="0.25">
      <c r="K80" s="8" t="str">
        <f t="shared" si="10"/>
        <v/>
      </c>
      <c r="O80" s="8" t="str">
        <f t="shared" si="11"/>
        <v/>
      </c>
      <c r="Q80" s="50" t="str">
        <f t="shared" si="12"/>
        <v/>
      </c>
      <c r="S80" s="10">
        <f t="shared" si="13"/>
        <v>0</v>
      </c>
      <c r="T80" s="10">
        <f t="shared" si="14"/>
        <v>0</v>
      </c>
    </row>
    <row r="81" spans="5:20" x14ac:dyDescent="0.25">
      <c r="E81" s="4"/>
      <c r="K81" s="8" t="str">
        <f t="shared" si="10"/>
        <v/>
      </c>
      <c r="O81" s="8" t="str">
        <f t="shared" si="11"/>
        <v/>
      </c>
      <c r="Q81" s="50" t="str">
        <f t="shared" si="12"/>
        <v/>
      </c>
      <c r="S81" s="10">
        <f t="shared" si="13"/>
        <v>0</v>
      </c>
      <c r="T81" s="10">
        <f t="shared" si="14"/>
        <v>0</v>
      </c>
    </row>
    <row r="82" spans="5:20" x14ac:dyDescent="0.25">
      <c r="E82" s="4"/>
      <c r="K82" s="8" t="str">
        <f t="shared" si="10"/>
        <v/>
      </c>
      <c r="O82" s="8" t="str">
        <f t="shared" si="11"/>
        <v/>
      </c>
      <c r="Q82" s="50" t="str">
        <f t="shared" si="12"/>
        <v/>
      </c>
      <c r="S82" s="10">
        <f t="shared" si="13"/>
        <v>0</v>
      </c>
      <c r="T82" s="10">
        <f t="shared" si="14"/>
        <v>0</v>
      </c>
    </row>
    <row r="83" spans="5:20" x14ac:dyDescent="0.25">
      <c r="K83" s="8" t="str">
        <f t="shared" si="10"/>
        <v/>
      </c>
      <c r="O83" s="8" t="str">
        <f t="shared" si="11"/>
        <v/>
      </c>
      <c r="Q83" s="50" t="str">
        <f t="shared" si="12"/>
        <v/>
      </c>
      <c r="S83" s="10">
        <f t="shared" si="13"/>
        <v>0</v>
      </c>
      <c r="T83" s="10">
        <f t="shared" si="14"/>
        <v>0</v>
      </c>
    </row>
    <row r="84" spans="5:20" x14ac:dyDescent="0.25">
      <c r="K84" s="8" t="str">
        <f t="shared" si="10"/>
        <v/>
      </c>
      <c r="O84" s="8" t="str">
        <f t="shared" si="11"/>
        <v/>
      </c>
      <c r="Q84" s="50" t="str">
        <f t="shared" si="12"/>
        <v/>
      </c>
      <c r="S84" s="10">
        <f t="shared" si="13"/>
        <v>0</v>
      </c>
      <c r="T84" s="10">
        <f t="shared" si="14"/>
        <v>0</v>
      </c>
    </row>
    <row r="85" spans="5:20" x14ac:dyDescent="0.25">
      <c r="K85" s="8" t="str">
        <f t="shared" si="10"/>
        <v/>
      </c>
      <c r="O85" s="8" t="str">
        <f t="shared" si="11"/>
        <v/>
      </c>
      <c r="Q85" s="50" t="str">
        <f t="shared" si="12"/>
        <v/>
      </c>
      <c r="S85" s="10">
        <f t="shared" si="13"/>
        <v>0</v>
      </c>
      <c r="T85" s="10">
        <f t="shared" si="14"/>
        <v>0</v>
      </c>
    </row>
    <row r="86" spans="5:20" x14ac:dyDescent="0.25">
      <c r="K86" s="8" t="str">
        <f t="shared" si="10"/>
        <v/>
      </c>
      <c r="O86" s="8" t="str">
        <f t="shared" si="11"/>
        <v/>
      </c>
      <c r="Q86" s="50" t="str">
        <f t="shared" si="12"/>
        <v/>
      </c>
      <c r="S86" s="10">
        <f t="shared" si="13"/>
        <v>0</v>
      </c>
      <c r="T86" s="10">
        <f t="shared" si="14"/>
        <v>0</v>
      </c>
    </row>
    <row r="87" spans="5:20" x14ac:dyDescent="0.25">
      <c r="K87" s="8" t="str">
        <f t="shared" si="10"/>
        <v/>
      </c>
      <c r="O87" s="8" t="str">
        <f t="shared" si="11"/>
        <v/>
      </c>
      <c r="Q87" s="50" t="str">
        <f t="shared" si="12"/>
        <v/>
      </c>
      <c r="S87" s="10">
        <f t="shared" si="13"/>
        <v>0</v>
      </c>
      <c r="T87" s="10">
        <f t="shared" si="14"/>
        <v>0</v>
      </c>
    </row>
    <row r="88" spans="5:20" x14ac:dyDescent="0.25">
      <c r="K88" s="8" t="str">
        <f t="shared" si="10"/>
        <v/>
      </c>
      <c r="O88" s="8" t="str">
        <f t="shared" si="11"/>
        <v/>
      </c>
      <c r="Q88" s="50" t="str">
        <f t="shared" si="12"/>
        <v/>
      </c>
      <c r="S88" s="10">
        <f t="shared" si="13"/>
        <v>0</v>
      </c>
      <c r="T88" s="10">
        <f t="shared" si="14"/>
        <v>0</v>
      </c>
    </row>
    <row r="89" spans="5:20" x14ac:dyDescent="0.25">
      <c r="K89" s="8" t="str">
        <f t="shared" si="10"/>
        <v/>
      </c>
      <c r="O89" s="8" t="str">
        <f t="shared" si="11"/>
        <v/>
      </c>
      <c r="Q89" s="50" t="str">
        <f t="shared" si="12"/>
        <v/>
      </c>
      <c r="S89" s="10">
        <f t="shared" si="13"/>
        <v>0</v>
      </c>
      <c r="T89" s="10">
        <f t="shared" si="14"/>
        <v>0</v>
      </c>
    </row>
    <row r="90" spans="5:20" x14ac:dyDescent="0.25">
      <c r="K90" s="8" t="str">
        <f t="shared" si="10"/>
        <v/>
      </c>
      <c r="O90" s="8" t="str">
        <f t="shared" si="11"/>
        <v/>
      </c>
      <c r="Q90" s="50" t="str">
        <f t="shared" si="12"/>
        <v/>
      </c>
      <c r="S90" s="10">
        <f t="shared" si="13"/>
        <v>0</v>
      </c>
      <c r="T90" s="10">
        <f t="shared" si="14"/>
        <v>0</v>
      </c>
    </row>
    <row r="91" spans="5:20" x14ac:dyDescent="0.25">
      <c r="K91" s="8" t="str">
        <f t="shared" si="10"/>
        <v/>
      </c>
      <c r="O91" s="8" t="str">
        <f t="shared" si="11"/>
        <v/>
      </c>
      <c r="Q91" s="50" t="str">
        <f t="shared" si="12"/>
        <v/>
      </c>
      <c r="S91" s="10">
        <f t="shared" si="13"/>
        <v>0</v>
      </c>
      <c r="T91" s="10">
        <f t="shared" si="14"/>
        <v>0</v>
      </c>
    </row>
    <row r="92" spans="5:20" x14ac:dyDescent="0.25">
      <c r="K92" s="8" t="str">
        <f t="shared" si="10"/>
        <v/>
      </c>
      <c r="O92" s="8" t="str">
        <f t="shared" si="11"/>
        <v/>
      </c>
      <c r="Q92" s="50" t="str">
        <f t="shared" si="12"/>
        <v/>
      </c>
      <c r="S92" s="10">
        <f t="shared" si="13"/>
        <v>0</v>
      </c>
      <c r="T92" s="10">
        <f t="shared" si="14"/>
        <v>0</v>
      </c>
    </row>
    <row r="93" spans="5:20" x14ac:dyDescent="0.25">
      <c r="K93" s="8" t="str">
        <f t="shared" si="10"/>
        <v/>
      </c>
      <c r="O93" s="8" t="str">
        <f t="shared" si="11"/>
        <v/>
      </c>
      <c r="Q93" s="50" t="str">
        <f t="shared" si="12"/>
        <v/>
      </c>
      <c r="S93" s="10">
        <f t="shared" si="13"/>
        <v>0</v>
      </c>
      <c r="T93" s="10">
        <f t="shared" si="14"/>
        <v>0</v>
      </c>
    </row>
    <row r="94" spans="5:20" x14ac:dyDescent="0.25">
      <c r="K94" s="8" t="str">
        <f t="shared" si="10"/>
        <v/>
      </c>
      <c r="O94" s="8" t="str">
        <f t="shared" si="11"/>
        <v/>
      </c>
      <c r="Q94" s="50" t="str">
        <f t="shared" si="12"/>
        <v/>
      </c>
      <c r="S94" s="10">
        <f t="shared" si="13"/>
        <v>0</v>
      </c>
      <c r="T94" s="10">
        <f t="shared" si="14"/>
        <v>0</v>
      </c>
    </row>
    <row r="96" spans="5:20" x14ac:dyDescent="0.25">
      <c r="K96" s="21" t="str">
        <f>IF(J96="","",J96-E96)</f>
        <v/>
      </c>
      <c r="O96" s="21" t="str">
        <f>IF(L96="","",N96-J96)</f>
        <v/>
      </c>
    </row>
    <row r="102" spans="1:20" ht="18.600000000000001" customHeight="1" x14ac:dyDescent="0.3">
      <c r="A102" s="13" t="s">
        <v>65</v>
      </c>
      <c r="C102" s="14"/>
      <c r="D102" s="14"/>
      <c r="E102" s="14"/>
      <c r="F102" s="15"/>
      <c r="G102" s="14"/>
      <c r="H102" s="15"/>
      <c r="I102" s="16"/>
      <c r="J102" s="17"/>
      <c r="K102" s="18" t="str">
        <f>IF(J102="","",J102-E102)</f>
        <v/>
      </c>
      <c r="L102" s="15"/>
      <c r="M102" s="16"/>
      <c r="N102" s="17"/>
      <c r="O102" s="18" t="str">
        <f>IF(L102="","",N102-J102)</f>
        <v/>
      </c>
      <c r="P102" s="15"/>
      <c r="Q102" s="19"/>
      <c r="R102" s="12"/>
      <c r="S102" s="20"/>
      <c r="T102" s="12"/>
    </row>
  </sheetData>
  <dataValidations count="3">
    <dataValidation type="list" showInputMessage="1" showErrorMessage="1" promptTitle="Long/Short" sqref="D1" xr:uid="{00000000-0002-0000-0000-000000000000}">
      <formula1>$V$2:$V$3</formula1>
    </dataValidation>
    <dataValidation type="list" allowBlank="1" showInputMessage="1" showErrorMessage="1" sqref="D41:D94" xr:uid="{00000000-0002-0000-0000-000001000000}">
      <formula1>$V$2:$V$3</formula1>
    </dataValidation>
    <dataValidation type="list" allowBlank="1" showInputMessage="1" showErrorMessage="1" promptTitle="Long/Short" sqref="D2:D40" xr:uid="{00000000-0002-0000-0000-000002000000}">
      <formula1>"Long,Short"</formula1>
    </dataValidation>
  </dataValidations>
  <pageMargins left="0.70000000000000007" right="0.70000000000000007" top="1.1436999999999999" bottom="1.1436999999999999" header="0.75000000000000011" footer="0.75000000000000011"/>
  <pageSetup fitToWidth="0" fitToHeight="0" orientation="portrait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30"/>
  <sheetViews>
    <sheetView workbookViewId="0">
      <selection activeCell="F27" sqref="F27"/>
    </sheetView>
  </sheetViews>
  <sheetFormatPr defaultColWidth="9.125" defaultRowHeight="15" x14ac:dyDescent="0.25"/>
  <cols>
    <col min="1" max="1" width="3.75" style="2" customWidth="1"/>
    <col min="2" max="2" width="19.625" style="2" customWidth="1"/>
    <col min="3" max="3" width="14.75" style="25" customWidth="1"/>
    <col min="4" max="4" width="2.875" style="2" customWidth="1"/>
    <col min="5" max="5" width="19.625" style="2" customWidth="1"/>
    <col min="6" max="6" width="14.75" style="25" customWidth="1"/>
    <col min="7" max="7" width="3.125" style="2" customWidth="1"/>
    <col min="8" max="8" width="18.75" style="2" customWidth="1"/>
    <col min="9" max="9" width="15.25" style="25" customWidth="1"/>
    <col min="10" max="10" width="2.875" style="2" customWidth="1"/>
    <col min="11" max="11" width="18.625" style="2" customWidth="1"/>
    <col min="12" max="12" width="14.75" style="25" customWidth="1"/>
    <col min="13" max="13" width="2.5" style="2" customWidth="1"/>
    <col min="14" max="14" width="19.375" style="2" customWidth="1"/>
    <col min="15" max="15" width="14.625" style="25" customWidth="1"/>
    <col min="16" max="1024" width="8.125" style="2" customWidth="1"/>
    <col min="1025" max="1025" width="9.125" customWidth="1"/>
  </cols>
  <sheetData>
    <row r="1" spans="1:15" ht="15" customHeight="1" thickBot="1" x14ac:dyDescent="0.3">
      <c r="A1" s="76" t="s">
        <v>66</v>
      </c>
    </row>
    <row r="2" spans="1:15" s="26" customFormat="1" ht="18.600000000000001" customHeight="1" x14ac:dyDescent="0.3">
      <c r="B2" s="27" t="s">
        <v>67</v>
      </c>
      <c r="C2" s="28"/>
      <c r="D2" s="29"/>
      <c r="E2" s="27" t="s">
        <v>68</v>
      </c>
      <c r="F2" s="28"/>
      <c r="G2" s="29"/>
      <c r="H2" s="27" t="s">
        <v>69</v>
      </c>
      <c r="I2" s="28"/>
      <c r="J2" s="29"/>
      <c r="K2" s="27" t="s">
        <v>70</v>
      </c>
      <c r="L2" s="28"/>
      <c r="M2" s="29"/>
      <c r="N2" s="27" t="s">
        <v>71</v>
      </c>
      <c r="O2" s="28"/>
    </row>
    <row r="3" spans="1:15" ht="18.600000000000001" customHeight="1" x14ac:dyDescent="0.3">
      <c r="B3" s="30"/>
      <c r="C3" s="31"/>
      <c r="D3" s="32"/>
      <c r="E3" s="30"/>
      <c r="F3" s="31"/>
      <c r="G3" s="32"/>
      <c r="H3" s="30"/>
      <c r="I3" s="31"/>
      <c r="J3" s="32"/>
      <c r="K3" s="30"/>
      <c r="L3" s="31"/>
      <c r="M3" s="32"/>
      <c r="N3" s="30"/>
      <c r="O3" s="31"/>
    </row>
    <row r="4" spans="1:15" ht="18.600000000000001" customHeight="1" x14ac:dyDescent="0.3">
      <c r="B4" s="30" t="s">
        <v>72</v>
      </c>
      <c r="C4" s="57">
        <f>N(F4) + N(I4) + N(L4) + N(O4)</f>
        <v>34</v>
      </c>
      <c r="D4" s="32"/>
      <c r="E4" s="30" t="s">
        <v>72</v>
      </c>
      <c r="F4" s="31">
        <f>F5+F6</f>
        <v>23</v>
      </c>
      <c r="G4" s="32"/>
      <c r="H4" s="30" t="s">
        <v>72</v>
      </c>
      <c r="I4" s="57">
        <f>I5 + I6</f>
        <v>11</v>
      </c>
      <c r="J4" s="32"/>
      <c r="K4" s="30" t="s">
        <v>72</v>
      </c>
      <c r="L4" s="31">
        <f>L5+L6</f>
        <v>0</v>
      </c>
      <c r="M4" s="32"/>
      <c r="N4" s="30" t="s">
        <v>72</v>
      </c>
      <c r="O4" s="31">
        <f>O5+O6</f>
        <v>0</v>
      </c>
    </row>
    <row r="5" spans="1:15" ht="18.600000000000001" customHeight="1" x14ac:dyDescent="0.3">
      <c r="B5" s="30" t="s">
        <v>73</v>
      </c>
      <c r="C5" s="33">
        <f>VALUE(F5) + VALUE(I5) + VALUE(L5) + VALUE(O5)</f>
        <v>22</v>
      </c>
      <c r="D5" s="32"/>
      <c r="E5" s="30" t="s">
        <v>73</v>
      </c>
      <c r="F5" s="62">
        <f>COUNTIF(Trade_Log!Q2:Q26, "&gt;0")</f>
        <v>18</v>
      </c>
      <c r="G5" s="32"/>
      <c r="H5" s="30" t="s">
        <v>73</v>
      </c>
      <c r="I5" s="31">
        <f>COUNTIF(Trade_Log!Q25:Q49,"&gt;0")</f>
        <v>4</v>
      </c>
      <c r="J5" s="32"/>
      <c r="K5" s="30" t="s">
        <v>73</v>
      </c>
      <c r="L5" s="31">
        <f>COUNTIF(Trade_Log!Q50:Q74,"&gt;0")</f>
        <v>0</v>
      </c>
      <c r="M5" s="32"/>
      <c r="N5" s="30" t="s">
        <v>73</v>
      </c>
      <c r="O5" s="31">
        <f>COUNTIF(Trade_Log!Q77:Q101,"&gt;0")</f>
        <v>0</v>
      </c>
    </row>
    <row r="6" spans="1:15" ht="18.600000000000001" customHeight="1" x14ac:dyDescent="0.3">
      <c r="B6" s="30" t="s">
        <v>74</v>
      </c>
      <c r="C6" s="33">
        <f>VALUE(F6) + VALUE(I6) + VALUE(L6) + VALUE(O6)</f>
        <v>12</v>
      </c>
      <c r="D6" s="32"/>
      <c r="E6" s="30" t="s">
        <v>74</v>
      </c>
      <c r="F6" s="62">
        <f>COUNTIF(Trade_Log!Q2:Q26, "&lt;0")</f>
        <v>5</v>
      </c>
      <c r="G6" s="32"/>
      <c r="H6" s="30" t="s">
        <v>74</v>
      </c>
      <c r="I6" s="31">
        <f>COUNTIF(Trade_Log!Q25:Q49, "&lt;0")</f>
        <v>7</v>
      </c>
      <c r="J6" s="32"/>
      <c r="K6" s="30" t="s">
        <v>74</v>
      </c>
      <c r="L6" s="31">
        <f>COUNTIF(Trade_Log!Q50:Q74,"&lt;0")</f>
        <v>0</v>
      </c>
      <c r="M6" s="32"/>
      <c r="N6" s="30" t="s">
        <v>74</v>
      </c>
      <c r="O6" s="31">
        <f>COUNTIF(Trade_Log!Q77:Q101,"&lt;0")</f>
        <v>0</v>
      </c>
    </row>
    <row r="7" spans="1:15" s="34" customFormat="1" ht="18.600000000000001" customHeight="1" x14ac:dyDescent="0.3">
      <c r="B7" s="35" t="s">
        <v>75</v>
      </c>
      <c r="C7" s="38">
        <f>IF(C5=0,"0",C5/C4)</f>
        <v>0.6470588235294118</v>
      </c>
      <c r="D7" s="37"/>
      <c r="E7" s="35" t="s">
        <v>75</v>
      </c>
      <c r="F7" s="38">
        <f>IF(F5=0,"0",F5/F4)</f>
        <v>0.78260869565217395</v>
      </c>
      <c r="G7" s="37"/>
      <c r="H7" s="35" t="s">
        <v>75</v>
      </c>
      <c r="I7" s="38">
        <f>IF(I5=0,"0",I5/I4)</f>
        <v>0.36363636363636365</v>
      </c>
      <c r="J7" s="37"/>
      <c r="K7" s="35" t="s">
        <v>75</v>
      </c>
      <c r="L7" s="38" t="str">
        <f>IF(L5=0,"0",L5/L4)</f>
        <v>0</v>
      </c>
      <c r="M7" s="37"/>
      <c r="N7" s="35" t="s">
        <v>75</v>
      </c>
      <c r="O7" s="38" t="str">
        <f>IF(O5=0,"0",O5/O4)</f>
        <v>0</v>
      </c>
    </row>
    <row r="8" spans="1:15" s="34" customFormat="1" ht="18.600000000000001" customHeight="1" x14ac:dyDescent="0.3">
      <c r="B8" s="35" t="s">
        <v>76</v>
      </c>
      <c r="C8" s="36">
        <f>IF(C6=0,"0",C6/C4)</f>
        <v>0.35294117647058826</v>
      </c>
      <c r="D8" s="37"/>
      <c r="E8" s="35" t="s">
        <v>76</v>
      </c>
      <c r="F8" s="38">
        <f>IF(F6=0,"0",F6/F4)</f>
        <v>0.21739130434782608</v>
      </c>
      <c r="G8" s="37"/>
      <c r="H8" s="35" t="s">
        <v>76</v>
      </c>
      <c r="I8" s="38">
        <f>IF(I6=0,"0",I6/I4)</f>
        <v>0.63636363636363635</v>
      </c>
      <c r="J8" s="37"/>
      <c r="K8" s="35" t="s">
        <v>76</v>
      </c>
      <c r="L8" s="38" t="str">
        <f>IF(L6=0,"0",L6/L4)</f>
        <v>0</v>
      </c>
      <c r="M8" s="37"/>
      <c r="N8" s="35" t="s">
        <v>76</v>
      </c>
      <c r="O8" s="38" t="str">
        <f>IF(O6=0,"0",O6/O4)</f>
        <v>0</v>
      </c>
    </row>
    <row r="9" spans="1:15" ht="18.600000000000001" customHeight="1" x14ac:dyDescent="0.3">
      <c r="B9" s="30" t="s">
        <v>77</v>
      </c>
      <c r="C9" s="41">
        <f>IF(C5=0,"0",C15/C5)</f>
        <v>574.72727272727275</v>
      </c>
      <c r="D9" s="39"/>
      <c r="E9" s="40" t="s">
        <v>77</v>
      </c>
      <c r="F9" s="41">
        <f>IF(F5=0,"0",F15/F5)</f>
        <v>607.72222222222217</v>
      </c>
      <c r="G9" s="39"/>
      <c r="H9" s="40" t="s">
        <v>77</v>
      </c>
      <c r="I9" s="41">
        <f>IF(I5=0,"0",I15/I5)</f>
        <v>426.24999999999994</v>
      </c>
      <c r="J9" s="39"/>
      <c r="K9" s="40" t="s">
        <v>77</v>
      </c>
      <c r="L9" s="41" t="str">
        <f>IF(L5=0,"0",L15/L5)</f>
        <v>0</v>
      </c>
      <c r="M9" s="39"/>
      <c r="N9" s="40" t="s">
        <v>77</v>
      </c>
      <c r="O9" s="41" t="str">
        <f>IF(O5=0,"0",O15/O5)</f>
        <v>0</v>
      </c>
    </row>
    <row r="10" spans="1:15" ht="18.600000000000001" customHeight="1" x14ac:dyDescent="0.3">
      <c r="B10" s="30" t="s">
        <v>78</v>
      </c>
      <c r="C10" s="41">
        <f>IF(C6=0,"0",C16/C6)</f>
        <v>-510.41666666666669</v>
      </c>
      <c r="D10" s="39"/>
      <c r="E10" s="40" t="s">
        <v>78</v>
      </c>
      <c r="F10" s="41">
        <f>IF(F6=0,"0",F16/F6)</f>
        <v>-297.39999999999998</v>
      </c>
      <c r="G10" s="39"/>
      <c r="H10" s="40" t="s">
        <v>78</v>
      </c>
      <c r="I10" s="41">
        <f>IF(I6=0,"0",I16/I6)</f>
        <v>-728.28571428571433</v>
      </c>
      <c r="J10" s="39"/>
      <c r="K10" s="40" t="s">
        <v>78</v>
      </c>
      <c r="L10" s="41" t="str">
        <f>IF(L6=0,"0",L16/L6)</f>
        <v>0</v>
      </c>
      <c r="M10" s="39"/>
      <c r="N10" s="40" t="s">
        <v>78</v>
      </c>
      <c r="O10" s="41" t="str">
        <f>IF(O6=0,"0",O16/O6)</f>
        <v>0</v>
      </c>
    </row>
    <row r="11" spans="1:15" ht="18.600000000000001" customHeight="1" x14ac:dyDescent="0.3">
      <c r="B11" s="30" t="s">
        <v>79</v>
      </c>
      <c r="C11" s="44">
        <f>IF(C5=0,"0",C9/-C10)</f>
        <v>1.1259962894248607</v>
      </c>
      <c r="D11" s="42"/>
      <c r="E11" s="43" t="s">
        <v>79</v>
      </c>
      <c r="F11" s="44">
        <f>IF(F5=0,"0",F9/-F10)</f>
        <v>2.0434506463423747</v>
      </c>
      <c r="G11" s="42"/>
      <c r="H11" s="43" t="s">
        <v>79</v>
      </c>
      <c r="I11" s="44">
        <f>IF(I5=0,"0",I9/-I10)</f>
        <v>0.5852785406041584</v>
      </c>
      <c r="J11" s="42"/>
      <c r="K11" s="43" t="s">
        <v>79</v>
      </c>
      <c r="L11" s="44" t="str">
        <f>IF(L5=0,"0",L9/-L10)</f>
        <v>0</v>
      </c>
      <c r="M11" s="42"/>
      <c r="N11" s="43" t="s">
        <v>79</v>
      </c>
      <c r="O11" s="44" t="str">
        <f>IF(O5=0,"0",O9/-O10)</f>
        <v>0</v>
      </c>
    </row>
    <row r="12" spans="1:15" s="34" customFormat="1" ht="18.600000000000001" customHeight="1" x14ac:dyDescent="0.3">
      <c r="B12" s="35" t="s">
        <v>80</v>
      </c>
      <c r="C12" s="36">
        <f>(C11*C7)-C8</f>
        <v>0.37564465786314521</v>
      </c>
      <c r="D12" s="37"/>
      <c r="E12" s="35" t="s">
        <v>80</v>
      </c>
      <c r="F12" s="38">
        <f>(F11*F7)-F8</f>
        <v>1.3818309406157716</v>
      </c>
      <c r="G12" s="37"/>
      <c r="H12" s="35" t="s">
        <v>80</v>
      </c>
      <c r="I12" s="38">
        <f>(I11*I7)-I8</f>
        <v>-0.42353507614394237</v>
      </c>
      <c r="J12" s="37"/>
      <c r="K12" s="35" t="s">
        <v>80</v>
      </c>
      <c r="L12" s="38">
        <f>(L11*L7)-L8</f>
        <v>0</v>
      </c>
      <c r="M12" s="37"/>
      <c r="N12" s="35" t="s">
        <v>80</v>
      </c>
      <c r="O12" s="38">
        <f>(O11*O7)-O8</f>
        <v>0</v>
      </c>
    </row>
    <row r="13" spans="1:15" s="34" customFormat="1" ht="18.600000000000001" customHeight="1" x14ac:dyDescent="0.3">
      <c r="B13" s="35" t="s">
        <v>81</v>
      </c>
      <c r="C13" s="36">
        <f>IF(C12=0,"0",C7-(C8/C11))</f>
        <v>0.33361091985038238</v>
      </c>
      <c r="D13" s="37"/>
      <c r="E13" s="35" t="s">
        <v>81</v>
      </c>
      <c r="F13" s="38">
        <f>IF(F12=0,"0",F7-(F8/F11))</f>
        <v>0.67622427930380735</v>
      </c>
      <c r="G13" s="37"/>
      <c r="H13" s="35" t="s">
        <v>81</v>
      </c>
      <c r="I13" s="38">
        <f>IF(I12=0,"0",I7-(I8/I11))</f>
        <v>-0.72364702745934439</v>
      </c>
      <c r="J13" s="37"/>
      <c r="K13" s="35" t="s">
        <v>81</v>
      </c>
      <c r="L13" s="38" t="str">
        <f>IF(L12=0,"0",L7-(L8/L11))</f>
        <v>0</v>
      </c>
      <c r="M13" s="37"/>
      <c r="N13" s="35" t="s">
        <v>81</v>
      </c>
      <c r="O13" s="38" t="str">
        <f>IF(O12=0,"0",O7-(O8/O11))</f>
        <v>0</v>
      </c>
    </row>
    <row r="14" spans="1:15" ht="18.600000000000001" customHeight="1" x14ac:dyDescent="0.3">
      <c r="B14" s="30"/>
      <c r="C14" s="33"/>
      <c r="D14" s="32"/>
      <c r="E14" s="30"/>
      <c r="F14" s="31"/>
      <c r="G14" s="32"/>
      <c r="H14" s="30"/>
      <c r="I14" s="31"/>
      <c r="J14" s="32"/>
      <c r="K14" s="30"/>
      <c r="L14" s="31"/>
      <c r="M14" s="32"/>
      <c r="N14" s="30"/>
      <c r="O14" s="31"/>
    </row>
    <row r="15" spans="1:15" ht="18.600000000000001" customHeight="1" x14ac:dyDescent="0.3">
      <c r="B15" s="30" t="s">
        <v>82</v>
      </c>
      <c r="C15" s="58">
        <f>SUMIF(Trade_Log!Q:Q, "&gt;0")</f>
        <v>12644</v>
      </c>
      <c r="D15" s="39"/>
      <c r="E15" s="40" t="s">
        <v>82</v>
      </c>
      <c r="F15" s="53">
        <f>SUMIF(Trade_Log!Q2:Q26,"&gt;0")</f>
        <v>10939</v>
      </c>
      <c r="G15" s="39"/>
      <c r="H15" s="40" t="s">
        <v>82</v>
      </c>
      <c r="I15" s="41">
        <f>SUMIF(Trade_Log!Q26:Q51,"&gt;0")</f>
        <v>1704.9999999999998</v>
      </c>
      <c r="J15" s="39"/>
      <c r="K15" s="40" t="s">
        <v>82</v>
      </c>
      <c r="L15" s="41">
        <f>SUMIF(Trade_Log!Q52:Q77,"&gt;0")</f>
        <v>0</v>
      </c>
      <c r="M15" s="39"/>
      <c r="N15" s="40" t="s">
        <v>82</v>
      </c>
      <c r="O15" s="41">
        <f>SUMIF(Trade_Log!Q78:Q101,"&gt;0")</f>
        <v>0</v>
      </c>
    </row>
    <row r="16" spans="1:15" ht="18.600000000000001" customHeight="1" x14ac:dyDescent="0.3">
      <c r="B16" s="30" t="s">
        <v>83</v>
      </c>
      <c r="C16" s="59">
        <f>SUMIF(Trade_Log!Q:Q, "&lt;0")</f>
        <v>-6125</v>
      </c>
      <c r="D16" s="39"/>
      <c r="E16" s="40" t="s">
        <v>83</v>
      </c>
      <c r="F16" s="53">
        <f>SUMIF(Trade_Log!Q2:Q26,"&lt;0")</f>
        <v>-1487</v>
      </c>
      <c r="G16" s="39"/>
      <c r="H16" s="40" t="s">
        <v>83</v>
      </c>
      <c r="I16" s="41">
        <f>SUMIF(Trade_Log!Q26:Q51,"&lt;0")</f>
        <v>-5098</v>
      </c>
      <c r="J16" s="39"/>
      <c r="K16" s="40" t="s">
        <v>83</v>
      </c>
      <c r="L16" s="41">
        <f>SUMIF(Trade_Log!Q52:Q77,"&lt;0")</f>
        <v>0</v>
      </c>
      <c r="M16" s="39"/>
      <c r="N16" s="40" t="s">
        <v>83</v>
      </c>
      <c r="O16" s="41">
        <f>SUMIF(Trade_Log!Q75:Q99,"&lt;0")</f>
        <v>0</v>
      </c>
    </row>
    <row r="17" spans="2:15" ht="18.95" customHeight="1" thickBot="1" x14ac:dyDescent="0.35">
      <c r="B17" s="45" t="s">
        <v>84</v>
      </c>
      <c r="C17" s="59">
        <f>N(F17) + N(I17) + N(L17) + N(O17)</f>
        <v>6058.9999999999991</v>
      </c>
      <c r="D17" s="39"/>
      <c r="E17" s="46" t="s">
        <v>84</v>
      </c>
      <c r="F17" s="59">
        <f>SUM(Trade_Log!Q2:Q26)</f>
        <v>9452</v>
      </c>
      <c r="G17" s="39"/>
      <c r="H17" s="46" t="s">
        <v>84</v>
      </c>
      <c r="I17" s="72">
        <f>SUM(Trade_Log!Q26:Q51)</f>
        <v>-3393.0000000000009</v>
      </c>
      <c r="J17" s="39"/>
      <c r="K17" s="46" t="s">
        <v>84</v>
      </c>
      <c r="L17" s="72">
        <f>SUM(Trade_Log!Q52:Q77)</f>
        <v>0</v>
      </c>
      <c r="M17" s="39"/>
      <c r="N17" s="46" t="s">
        <v>84</v>
      </c>
      <c r="O17" s="72">
        <f>SUM(Trade_Log!Q78:Q101)</f>
        <v>0</v>
      </c>
    </row>
    <row r="18" spans="2:15" ht="17.45" customHeight="1" x14ac:dyDescent="0.25">
      <c r="B18" s="47"/>
      <c r="C18" s="48"/>
      <c r="E18" s="47"/>
      <c r="F18" s="66"/>
      <c r="H18" s="47"/>
      <c r="I18" s="49"/>
      <c r="K18" s="47"/>
      <c r="L18" s="49"/>
      <c r="N18" s="47"/>
      <c r="O18" s="49"/>
    </row>
    <row r="19" spans="2:15" ht="18.600000000000001" customHeight="1" x14ac:dyDescent="0.3">
      <c r="B19" s="60" t="s">
        <v>85</v>
      </c>
      <c r="C19" s="31"/>
      <c r="D19" s="32"/>
      <c r="E19" s="60" t="s">
        <v>85</v>
      </c>
      <c r="F19" s="67" t="s">
        <v>86</v>
      </c>
      <c r="G19" s="32"/>
      <c r="H19" s="60" t="s">
        <v>85</v>
      </c>
      <c r="I19" s="31"/>
      <c r="J19" s="32"/>
      <c r="K19" s="60" t="s">
        <v>85</v>
      </c>
      <c r="L19" s="31"/>
      <c r="M19" s="32"/>
      <c r="N19" s="60" t="s">
        <v>85</v>
      </c>
      <c r="O19" s="31"/>
    </row>
    <row r="20" spans="2:15" ht="18.600000000000001" customHeight="1" x14ac:dyDescent="0.3">
      <c r="B20" s="30"/>
      <c r="C20" s="52"/>
      <c r="D20" s="32"/>
      <c r="E20" s="30"/>
      <c r="F20" s="31"/>
      <c r="G20" s="32"/>
      <c r="H20" s="30"/>
      <c r="I20" s="31"/>
      <c r="J20" s="32"/>
      <c r="K20" s="30"/>
      <c r="L20" s="31"/>
      <c r="M20" s="32"/>
      <c r="N20" s="30"/>
      <c r="O20" s="31"/>
    </row>
    <row r="21" spans="2:15" ht="18.600000000000001" customHeight="1" x14ac:dyDescent="0.3">
      <c r="B21" s="30" t="s">
        <v>87</v>
      </c>
      <c r="C21" s="51">
        <v>35000</v>
      </c>
      <c r="D21" s="32"/>
      <c r="E21" s="30" t="s">
        <v>87</v>
      </c>
      <c r="F21" s="68">
        <v>35000</v>
      </c>
      <c r="G21" s="32"/>
      <c r="H21" s="30" t="s">
        <v>87</v>
      </c>
      <c r="I21" s="68">
        <v>35000</v>
      </c>
      <c r="J21" s="32"/>
      <c r="K21" s="30" t="s">
        <v>87</v>
      </c>
      <c r="L21" s="68"/>
      <c r="M21" s="32"/>
      <c r="N21" s="30" t="s">
        <v>87</v>
      </c>
      <c r="O21" s="68"/>
    </row>
    <row r="22" spans="2:15" ht="18.600000000000001" customHeight="1" x14ac:dyDescent="0.3">
      <c r="B22" s="30" t="s">
        <v>88</v>
      </c>
      <c r="C22" s="61">
        <v>1.4999999999999999E-2</v>
      </c>
      <c r="D22" s="32"/>
      <c r="E22" s="30" t="s">
        <v>88</v>
      </c>
      <c r="F22" s="61">
        <v>1.4999999999999999E-2</v>
      </c>
      <c r="G22" s="32"/>
      <c r="H22" s="30" t="s">
        <v>88</v>
      </c>
      <c r="I22" s="61">
        <v>1.4999999999999999E-2</v>
      </c>
      <c r="J22" s="32"/>
      <c r="K22" s="30" t="s">
        <v>88</v>
      </c>
      <c r="L22" s="61"/>
      <c r="M22" s="32"/>
      <c r="N22" s="30" t="s">
        <v>88</v>
      </c>
      <c r="O22" s="61"/>
    </row>
    <row r="23" spans="2:15" ht="18.600000000000001" customHeight="1" x14ac:dyDescent="0.3">
      <c r="B23" s="30" t="s">
        <v>89</v>
      </c>
      <c r="C23" s="62">
        <f>C21*C22</f>
        <v>525</v>
      </c>
      <c r="D23" s="32"/>
      <c r="E23" s="30" t="s">
        <v>89</v>
      </c>
      <c r="F23" s="51">
        <f>IF(F21="","",F21*F22)</f>
        <v>525</v>
      </c>
      <c r="G23" s="32"/>
      <c r="H23" s="30" t="s">
        <v>89</v>
      </c>
      <c r="I23" s="51">
        <f>IF(I21="","",I21*I22)</f>
        <v>525</v>
      </c>
      <c r="J23" s="32"/>
      <c r="K23" s="30" t="s">
        <v>89</v>
      </c>
      <c r="L23" s="51" t="str">
        <f>IF(L21="","",L21*L22)</f>
        <v/>
      </c>
      <c r="M23" s="32"/>
      <c r="N23" s="30" t="s">
        <v>89</v>
      </c>
      <c r="O23" s="51" t="str">
        <f>IF(O21="","",O21*O22)</f>
        <v/>
      </c>
    </row>
    <row r="24" spans="2:15" ht="18.600000000000001" customHeight="1" x14ac:dyDescent="0.3">
      <c r="B24" s="30" t="s">
        <v>90</v>
      </c>
      <c r="C24" s="38">
        <f>IF(I24="",F24,AVERAGE(F24,I24,L24,O24))</f>
        <v>0.97684353741496599</v>
      </c>
      <c r="D24" s="32"/>
      <c r="E24" s="30" t="s">
        <v>90</v>
      </c>
      <c r="F24" s="52">
        <f>IF(F6=0,"",F10/F23*-1)</f>
        <v>0.56647619047619047</v>
      </c>
      <c r="G24" s="32"/>
      <c r="H24" s="30" t="s">
        <v>90</v>
      </c>
      <c r="I24" s="52">
        <f>IF(I6=0,"",I10/I23*-1)</f>
        <v>1.3872108843537416</v>
      </c>
      <c r="J24" s="32"/>
      <c r="K24" s="30" t="s">
        <v>90</v>
      </c>
      <c r="L24" s="52" t="str">
        <f>IF(L6=0,"",L10/L23*-1)</f>
        <v/>
      </c>
      <c r="M24" s="32"/>
      <c r="N24" s="30" t="s">
        <v>90</v>
      </c>
      <c r="O24" s="52" t="str">
        <f>IF(O6=0,"",O10/O23*-1)</f>
        <v/>
      </c>
    </row>
    <row r="25" spans="2:15" ht="18.600000000000001" customHeight="1" x14ac:dyDescent="0.3">
      <c r="B25" s="30" t="s">
        <v>91</v>
      </c>
      <c r="C25" s="31">
        <f>IF(C5=0, "", ROUNDUP(AVERAGEIF(Trade_Log!Q2:Q94, "&gt;0", Trade_Log!K2:K94), 0))</f>
        <v>4</v>
      </c>
      <c r="D25" s="32"/>
      <c r="E25" s="30" t="s">
        <v>91</v>
      </c>
      <c r="F25" s="31">
        <f>IF(F5=0, "", ROUNDUP(AVERAGEIF(Trade_Log!Q2:Q26, "&gt;0", Trade_Log!K2:K26),0))</f>
        <v>4</v>
      </c>
      <c r="G25" s="32"/>
      <c r="H25" s="30" t="s">
        <v>91</v>
      </c>
      <c r="I25" s="62">
        <f>IF(I5=0, "", ROUNDUP(AVERAGEIF(Trade_Log!Q27:Q51, "&gt;0", Trade_Log!K27:K51), 0))</f>
        <v>5</v>
      </c>
      <c r="J25" s="32"/>
      <c r="K25" s="30" t="s">
        <v>91</v>
      </c>
      <c r="L25" s="73" t="str">
        <f>IF(L5=0, "", ROUNDUP(AVERAGEIF(Trade_Log!Q52:Q76, "&gt;0", Trade_Log!K52:K76), 0))</f>
        <v/>
      </c>
      <c r="M25" s="32"/>
      <c r="N25" s="30" t="s">
        <v>91</v>
      </c>
      <c r="O25" s="73" t="str">
        <f>IF(O5=0, "", ROUND(AVERAGEIF(Trade_Log!Q77:Q101, "&lt;0", Trade_Log!K77:K101), 2))</f>
        <v/>
      </c>
    </row>
    <row r="26" spans="2:15" ht="18.600000000000001" customHeight="1" x14ac:dyDescent="0.3">
      <c r="B26" s="30" t="s">
        <v>92</v>
      </c>
      <c r="C26" s="31">
        <f>IF(C6=0, "", ROUNDUP(AVERAGEIF(Trade_Log!Q2:Q94, "&lt;0", Trade_Log!K2:K94), 0))</f>
        <v>5</v>
      </c>
      <c r="D26" s="32"/>
      <c r="E26" s="30" t="s">
        <v>92</v>
      </c>
      <c r="F26" s="31">
        <f>IF(F6=0, "", ROUNDUP(AVERAGEIF(Trade_Log!Q2:Q26, "&lt;0", Trade_Log!K2:K26), 0))</f>
        <v>9</v>
      </c>
      <c r="G26" s="32"/>
      <c r="H26" s="30" t="s">
        <v>92</v>
      </c>
      <c r="I26" s="62">
        <f>IF(I6=0,"",ROUNDUP(AVERAGEIF(Trade_Log!Q27:Q51,"&lt;0",Trade_Log!K27:K51),0))</f>
        <v>2</v>
      </c>
      <c r="J26" s="32"/>
      <c r="K26" s="30" t="s">
        <v>92</v>
      </c>
      <c r="L26" s="73" t="str">
        <f>IF(L6=0,"",ROUNDUP(AVERAGEIF(Trade_Log!Q52:Q76,"&lt;0",Trade_Log!K52:K76),0))</f>
        <v/>
      </c>
      <c r="M26" s="32"/>
      <c r="N26" s="30" t="s">
        <v>92</v>
      </c>
      <c r="O26" s="73" t="str">
        <f>IF(O6=0,"",ROUNDUP(AVERAGEIF(Trade_Log!Q77:Q101,"&lt;0",Trade_Log!K77:K101),0))</f>
        <v/>
      </c>
    </row>
    <row r="27" spans="2:15" ht="18.600000000000001" customHeight="1" x14ac:dyDescent="0.3">
      <c r="B27" s="30" t="s">
        <v>93</v>
      </c>
      <c r="C27" s="62">
        <f>ROUND(IFERROR(AVERAGEIF(Trade_Log!O:O,"&lt;&gt;"), 0), 0)</f>
        <v>2</v>
      </c>
      <c r="D27" s="32"/>
      <c r="E27" s="30" t="s">
        <v>93</v>
      </c>
      <c r="F27" s="69">
        <f>IF(I4=0, "", IFERROR(ROUND(AVERAGEIF(Trade_Log!O2:O26, "&gt;-1"), 2), ""))</f>
        <v>2.14</v>
      </c>
      <c r="G27" s="32"/>
      <c r="H27" s="30" t="s">
        <v>93</v>
      </c>
      <c r="I27" s="73" t="str">
        <f>IF(I4=0, "", IFERROR(ROUND(AVERAGEIF(Trade_Log!O26:O51, "&gt;-1"), 2), ""))</f>
        <v/>
      </c>
      <c r="J27" s="32"/>
      <c r="K27" s="30" t="s">
        <v>93</v>
      </c>
      <c r="L27" s="73" t="str">
        <f>IF(L4=0, "", IFERROR(ROUND(AVERAGEIF(Trade_Log!O52:O77, "&gt;-1"), 2), ""))</f>
        <v/>
      </c>
      <c r="M27" s="32"/>
      <c r="N27" s="30" t="s">
        <v>93</v>
      </c>
      <c r="O27" s="73" t="str">
        <f>IF(O4=0, "", IFERROR(ROUNDUP(AVERAGEIF(Trade_Log!O78:O101, "&gt;-1"), 0), ""))</f>
        <v/>
      </c>
    </row>
    <row r="28" spans="2:15" ht="18.600000000000001" customHeight="1" x14ac:dyDescent="0.3">
      <c r="B28" s="30" t="s">
        <v>94</v>
      </c>
      <c r="C28" s="63">
        <f>IFERROR(C17 / C21, 0)</f>
        <v>0.17311428571428569</v>
      </c>
      <c r="D28" s="32"/>
      <c r="E28" s="30" t="s">
        <v>94</v>
      </c>
      <c r="F28" s="38">
        <f>IFERROR(F17 / F21, 0)</f>
        <v>0.27005714285714288</v>
      </c>
      <c r="G28" s="32"/>
      <c r="H28" s="30" t="s">
        <v>94</v>
      </c>
      <c r="I28" s="38">
        <f>IF(I4=0,"",I17/I21)</f>
        <v>-9.6942857142857164E-2</v>
      </c>
      <c r="J28" s="32"/>
      <c r="K28" s="30" t="s">
        <v>94</v>
      </c>
      <c r="L28" s="38" t="str">
        <f>IF(L4=0,"",L17/L21)</f>
        <v/>
      </c>
      <c r="M28" s="32"/>
      <c r="N28" s="30" t="s">
        <v>94</v>
      </c>
      <c r="O28" s="38" t="str">
        <f>IF(O4=0,"",O17/O21)</f>
        <v/>
      </c>
    </row>
    <row r="29" spans="2:15" ht="18.600000000000001" customHeight="1" x14ac:dyDescent="0.3">
      <c r="B29" s="30" t="s">
        <v>95</v>
      </c>
      <c r="C29" s="64">
        <f>IF(Trade_Log!E2="","",Trade_Log!E2)</f>
        <v>45957</v>
      </c>
      <c r="D29" s="56"/>
      <c r="E29" s="54" t="s">
        <v>95</v>
      </c>
      <c r="F29" s="70">
        <f>IF(Trade_Log!E2="","",Trade_Log!E2)</f>
        <v>45957</v>
      </c>
      <c r="G29" s="56"/>
      <c r="H29" s="54" t="s">
        <v>95</v>
      </c>
      <c r="I29" s="74">
        <f>IF(Trade_Log!E26="","",Trade_Log!E26)</f>
        <v>45996</v>
      </c>
      <c r="J29" s="56"/>
      <c r="K29" s="54" t="s">
        <v>95</v>
      </c>
      <c r="L29" s="74" t="str">
        <f>IF(Trade_Log!E52="","",Trade_Log!E52)</f>
        <v/>
      </c>
      <c r="M29" s="56"/>
      <c r="N29" s="54" t="s">
        <v>95</v>
      </c>
      <c r="O29" s="74" t="str">
        <f>IF(Trade_Log!E77="","",Trade_Log!E77)</f>
        <v/>
      </c>
    </row>
    <row r="30" spans="2:15" ht="18.95" customHeight="1" thickBot="1" x14ac:dyDescent="0.35">
      <c r="B30" s="45" t="s">
        <v>96</v>
      </c>
      <c r="C30" s="65" t="str">
        <f>IF(Trade_Log!J103="","",Trade_Log!J103)</f>
        <v/>
      </c>
      <c r="D30" s="56"/>
      <c r="E30" s="55" t="s">
        <v>96</v>
      </c>
      <c r="F30" s="71">
        <f>IF(Trade_Log!J26="","",Trade_Log!J26)</f>
        <v>46010</v>
      </c>
      <c r="G30" s="56"/>
      <c r="H30" s="55" t="s">
        <v>96</v>
      </c>
      <c r="I30" s="75" t="str">
        <f>IF(Trade_Log!J51="","",Trade_Log!J51)</f>
        <v/>
      </c>
      <c r="J30" s="56"/>
      <c r="K30" s="55" t="s">
        <v>96</v>
      </c>
      <c r="L30" s="75" t="str">
        <f>IF(Trade_Log!J76="","",Trade_Log!J76)</f>
        <v/>
      </c>
      <c r="M30" s="56"/>
      <c r="N30" s="55" t="s">
        <v>96</v>
      </c>
      <c r="O30" s="75" t="str">
        <f>IF(Trade_Log!J101="","",Trade_Log!J101)</f>
        <v/>
      </c>
    </row>
  </sheetData>
  <pageMargins left="0.70000000000000007" right="0.70000000000000007" top="1.1436999999999999" bottom="1.1436999999999999" header="0.75000000000000011" footer="0.75000000000000011"/>
  <pageSetup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Trade_Log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Zoppi</dc:creator>
  <cp:lastModifiedBy>Anthony Zoppi</cp:lastModifiedBy>
  <cp:revision>30</cp:revision>
  <dcterms:created xsi:type="dcterms:W3CDTF">2025-12-18T22:42:34Z</dcterms:created>
  <dcterms:modified xsi:type="dcterms:W3CDTF">2026-01-21T20:33:28Z</dcterms:modified>
</cp:coreProperties>
</file>