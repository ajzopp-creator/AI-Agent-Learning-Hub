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er\Documents\AJZStrategiesLLC\P_115_BuyTheDip\"/>
    </mc:Choice>
  </mc:AlternateContent>
  <xr:revisionPtr revIDLastSave="0" documentId="13_ncr:1_{874F56C9-E434-4061-8E75-3CBEBA32BF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de Log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2" l="1"/>
  <c r="O25" i="2"/>
  <c r="L25" i="2"/>
  <c r="L26" i="2"/>
  <c r="N98" i="1"/>
  <c r="J98" i="1"/>
  <c r="N97" i="1"/>
  <c r="J97" i="1"/>
  <c r="T96" i="1"/>
  <c r="S96" i="1"/>
  <c r="P96" i="1"/>
  <c r="Q96" i="1" s="1"/>
  <c r="N96" i="1"/>
  <c r="J96" i="1"/>
  <c r="T95" i="1"/>
  <c r="S95" i="1"/>
  <c r="P95" i="1"/>
  <c r="Q95" i="1" s="1"/>
  <c r="N95" i="1"/>
  <c r="J95" i="1"/>
  <c r="T94" i="1"/>
  <c r="S94" i="1"/>
  <c r="P94" i="1"/>
  <c r="Q94" i="1" s="1"/>
  <c r="N94" i="1"/>
  <c r="J94" i="1"/>
  <c r="T93" i="1"/>
  <c r="S93" i="1"/>
  <c r="P93" i="1"/>
  <c r="Q93" i="1" s="1"/>
  <c r="N93" i="1"/>
  <c r="J93" i="1"/>
  <c r="T92" i="1"/>
  <c r="S92" i="1"/>
  <c r="P92" i="1"/>
  <c r="Q92" i="1" s="1"/>
  <c r="N92" i="1"/>
  <c r="J92" i="1"/>
  <c r="T91" i="1"/>
  <c r="S91" i="1"/>
  <c r="P91" i="1"/>
  <c r="Q91" i="1" s="1"/>
  <c r="N91" i="1"/>
  <c r="J91" i="1"/>
  <c r="T90" i="1"/>
  <c r="S90" i="1"/>
  <c r="P90" i="1"/>
  <c r="Q90" i="1" s="1"/>
  <c r="N90" i="1"/>
  <c r="J90" i="1"/>
  <c r="T89" i="1"/>
  <c r="S89" i="1"/>
  <c r="P89" i="1"/>
  <c r="Q89" i="1" s="1"/>
  <c r="N89" i="1"/>
  <c r="J89" i="1"/>
  <c r="T88" i="1"/>
  <c r="S88" i="1"/>
  <c r="P88" i="1"/>
  <c r="Q88" i="1" s="1"/>
  <c r="N88" i="1"/>
  <c r="J88" i="1"/>
  <c r="T87" i="1"/>
  <c r="S87" i="1"/>
  <c r="P87" i="1"/>
  <c r="Q87" i="1" s="1"/>
  <c r="N87" i="1"/>
  <c r="J87" i="1"/>
  <c r="T86" i="1"/>
  <c r="S86" i="1"/>
  <c r="P86" i="1"/>
  <c r="Q86" i="1" s="1"/>
  <c r="N86" i="1"/>
  <c r="J86" i="1"/>
  <c r="T85" i="1"/>
  <c r="S85" i="1"/>
  <c r="P85" i="1"/>
  <c r="Q85" i="1" s="1"/>
  <c r="N85" i="1"/>
  <c r="J85" i="1"/>
  <c r="T84" i="1"/>
  <c r="S84" i="1"/>
  <c r="P84" i="1"/>
  <c r="Q84" i="1" s="1"/>
  <c r="N84" i="1"/>
  <c r="J84" i="1"/>
  <c r="T83" i="1"/>
  <c r="S83" i="1"/>
  <c r="P83" i="1"/>
  <c r="Q83" i="1" s="1"/>
  <c r="N83" i="1"/>
  <c r="J83" i="1"/>
  <c r="T82" i="1"/>
  <c r="S82" i="1"/>
  <c r="P82" i="1"/>
  <c r="Q82" i="1" s="1"/>
  <c r="N82" i="1"/>
  <c r="J82" i="1"/>
  <c r="T81" i="1"/>
  <c r="S81" i="1"/>
  <c r="P81" i="1"/>
  <c r="Q81" i="1" s="1"/>
  <c r="N81" i="1"/>
  <c r="J81" i="1"/>
  <c r="T80" i="1"/>
  <c r="S80" i="1"/>
  <c r="P80" i="1"/>
  <c r="Q80" i="1" s="1"/>
  <c r="N80" i="1"/>
  <c r="J80" i="1"/>
  <c r="T79" i="1"/>
  <c r="S79" i="1"/>
  <c r="P79" i="1"/>
  <c r="Q79" i="1" s="1"/>
  <c r="N79" i="1"/>
  <c r="J79" i="1"/>
  <c r="T78" i="1"/>
  <c r="S78" i="1"/>
  <c r="P78" i="1"/>
  <c r="Q78" i="1" s="1"/>
  <c r="N78" i="1"/>
  <c r="J78" i="1"/>
  <c r="T77" i="1"/>
  <c r="S77" i="1"/>
  <c r="P77" i="1"/>
  <c r="Q77" i="1" s="1"/>
  <c r="N77" i="1"/>
  <c r="J77" i="1"/>
  <c r="T76" i="1"/>
  <c r="S76" i="1"/>
  <c r="P76" i="1"/>
  <c r="Q76" i="1" s="1"/>
  <c r="N76" i="1"/>
  <c r="J76" i="1"/>
  <c r="T75" i="1"/>
  <c r="S75" i="1"/>
  <c r="P75" i="1"/>
  <c r="Q75" i="1" s="1"/>
  <c r="N75" i="1"/>
  <c r="J75" i="1"/>
  <c r="T74" i="1"/>
  <c r="S74" i="1"/>
  <c r="P74" i="1"/>
  <c r="Q74" i="1" s="1"/>
  <c r="N74" i="1"/>
  <c r="J74" i="1"/>
  <c r="T73" i="1"/>
  <c r="S73" i="1"/>
  <c r="P73" i="1"/>
  <c r="Q73" i="1" s="1"/>
  <c r="N73" i="1"/>
  <c r="J73" i="1"/>
  <c r="T72" i="1"/>
  <c r="S72" i="1"/>
  <c r="P72" i="1"/>
  <c r="Q72" i="1" s="1"/>
  <c r="N72" i="1"/>
  <c r="J72" i="1"/>
  <c r="T71" i="1"/>
  <c r="S71" i="1"/>
  <c r="P71" i="1"/>
  <c r="Q71" i="1" s="1"/>
  <c r="N71" i="1"/>
  <c r="J71" i="1"/>
  <c r="T70" i="1"/>
  <c r="S70" i="1"/>
  <c r="P70" i="1"/>
  <c r="Q70" i="1" s="1"/>
  <c r="N70" i="1"/>
  <c r="J70" i="1"/>
  <c r="T69" i="1"/>
  <c r="S69" i="1"/>
  <c r="P69" i="1"/>
  <c r="Q69" i="1" s="1"/>
  <c r="N69" i="1"/>
  <c r="J69" i="1"/>
  <c r="T68" i="1"/>
  <c r="S68" i="1"/>
  <c r="P68" i="1"/>
  <c r="Q68" i="1" s="1"/>
  <c r="N68" i="1"/>
  <c r="J68" i="1"/>
  <c r="T67" i="1"/>
  <c r="S67" i="1"/>
  <c r="P67" i="1"/>
  <c r="Q67" i="1" s="1"/>
  <c r="N67" i="1"/>
  <c r="J67" i="1"/>
  <c r="T66" i="1"/>
  <c r="S66" i="1"/>
  <c r="P66" i="1"/>
  <c r="Q66" i="1" s="1"/>
  <c r="N66" i="1"/>
  <c r="J66" i="1"/>
  <c r="T65" i="1"/>
  <c r="S65" i="1"/>
  <c r="P65" i="1"/>
  <c r="Q65" i="1" s="1"/>
  <c r="N65" i="1"/>
  <c r="J65" i="1"/>
  <c r="T64" i="1"/>
  <c r="S64" i="1"/>
  <c r="P64" i="1"/>
  <c r="Q64" i="1" s="1"/>
  <c r="N64" i="1"/>
  <c r="J64" i="1"/>
  <c r="T63" i="1"/>
  <c r="S63" i="1"/>
  <c r="P63" i="1"/>
  <c r="Q63" i="1" s="1"/>
  <c r="N63" i="1"/>
  <c r="J63" i="1"/>
  <c r="T62" i="1"/>
  <c r="S62" i="1"/>
  <c r="P62" i="1"/>
  <c r="Q62" i="1" s="1"/>
  <c r="N62" i="1"/>
  <c r="J62" i="1"/>
  <c r="T61" i="1"/>
  <c r="S61" i="1"/>
  <c r="P61" i="1"/>
  <c r="Q61" i="1" s="1"/>
  <c r="N61" i="1"/>
  <c r="J61" i="1"/>
  <c r="T60" i="1"/>
  <c r="S60" i="1"/>
  <c r="P60" i="1"/>
  <c r="Q60" i="1" s="1"/>
  <c r="N60" i="1"/>
  <c r="J60" i="1"/>
  <c r="T59" i="1"/>
  <c r="S59" i="1"/>
  <c r="P59" i="1"/>
  <c r="Q59" i="1" s="1"/>
  <c r="N59" i="1"/>
  <c r="J59" i="1"/>
  <c r="T58" i="1"/>
  <c r="S58" i="1"/>
  <c r="P58" i="1"/>
  <c r="Q58" i="1" s="1"/>
  <c r="N58" i="1"/>
  <c r="J58" i="1"/>
  <c r="T57" i="1"/>
  <c r="S57" i="1"/>
  <c r="P57" i="1"/>
  <c r="Q57" i="1" s="1"/>
  <c r="N57" i="1"/>
  <c r="J57" i="1"/>
  <c r="T56" i="1"/>
  <c r="S56" i="1"/>
  <c r="P56" i="1"/>
  <c r="Q56" i="1" s="1"/>
  <c r="N56" i="1"/>
  <c r="J56" i="1"/>
  <c r="T55" i="1"/>
  <c r="S55" i="1"/>
  <c r="P55" i="1"/>
  <c r="Q55" i="1" s="1"/>
  <c r="N55" i="1"/>
  <c r="J55" i="1"/>
  <c r="T54" i="1"/>
  <c r="S54" i="1"/>
  <c r="P54" i="1"/>
  <c r="Q54" i="1" s="1"/>
  <c r="N54" i="1"/>
  <c r="J54" i="1"/>
  <c r="T53" i="1"/>
  <c r="S53" i="1"/>
  <c r="P53" i="1"/>
  <c r="Q53" i="1" s="1"/>
  <c r="N53" i="1"/>
  <c r="J53" i="1"/>
  <c r="T52" i="1"/>
  <c r="S52" i="1"/>
  <c r="P52" i="1"/>
  <c r="Q52" i="1" s="1"/>
  <c r="N52" i="1"/>
  <c r="J52" i="1"/>
  <c r="T51" i="1"/>
  <c r="S51" i="1"/>
  <c r="P51" i="1"/>
  <c r="Q51" i="1" s="1"/>
  <c r="N51" i="1"/>
  <c r="J51" i="1"/>
  <c r="T50" i="1"/>
  <c r="S50" i="1"/>
  <c r="P50" i="1"/>
  <c r="Q50" i="1" s="1"/>
  <c r="N50" i="1"/>
  <c r="J50" i="1"/>
  <c r="T49" i="1"/>
  <c r="S49" i="1"/>
  <c r="P49" i="1"/>
  <c r="Q49" i="1" s="1"/>
  <c r="N49" i="1"/>
  <c r="J49" i="1"/>
  <c r="T48" i="1"/>
  <c r="S48" i="1"/>
  <c r="P48" i="1"/>
  <c r="Q48" i="1" s="1"/>
  <c r="N48" i="1"/>
  <c r="J48" i="1"/>
  <c r="T47" i="1"/>
  <c r="S47" i="1"/>
  <c r="P47" i="1"/>
  <c r="Q47" i="1" s="1"/>
  <c r="N47" i="1"/>
  <c r="J47" i="1"/>
  <c r="T46" i="1"/>
  <c r="S46" i="1"/>
  <c r="P46" i="1"/>
  <c r="Q46" i="1" s="1"/>
  <c r="N46" i="1"/>
  <c r="J46" i="1"/>
  <c r="T45" i="1"/>
  <c r="S45" i="1"/>
  <c r="P45" i="1"/>
  <c r="Q45" i="1" s="1"/>
  <c r="N45" i="1"/>
  <c r="J45" i="1"/>
  <c r="T43" i="1"/>
  <c r="S43" i="1"/>
  <c r="P43" i="1"/>
  <c r="Q43" i="1" s="1"/>
  <c r="N43" i="1"/>
  <c r="J43" i="1"/>
  <c r="T42" i="1"/>
  <c r="S42" i="1"/>
  <c r="P42" i="1"/>
  <c r="Q42" i="1" s="1"/>
  <c r="N42" i="1"/>
  <c r="J42" i="1"/>
  <c r="T41" i="1"/>
  <c r="S41" i="1"/>
  <c r="P41" i="1"/>
  <c r="Q41" i="1" s="1"/>
  <c r="N41" i="1"/>
  <c r="J41" i="1"/>
  <c r="T40" i="1"/>
  <c r="S40" i="1"/>
  <c r="P40" i="1"/>
  <c r="Q40" i="1" s="1"/>
  <c r="N40" i="1"/>
  <c r="J40" i="1"/>
  <c r="T39" i="1"/>
  <c r="S39" i="1"/>
  <c r="P39" i="1"/>
  <c r="Q39" i="1" s="1"/>
  <c r="N39" i="1"/>
  <c r="J39" i="1"/>
  <c r="T38" i="1"/>
  <c r="S38" i="1"/>
  <c r="P38" i="1"/>
  <c r="Q38" i="1" s="1"/>
  <c r="N38" i="1"/>
  <c r="J38" i="1"/>
  <c r="T37" i="1"/>
  <c r="S37" i="1"/>
  <c r="P37" i="1"/>
  <c r="Q37" i="1" s="1"/>
  <c r="N37" i="1"/>
  <c r="J37" i="1"/>
  <c r="T36" i="1"/>
  <c r="S36" i="1"/>
  <c r="P36" i="1"/>
  <c r="Q36" i="1" s="1"/>
  <c r="N36" i="1"/>
  <c r="J36" i="1"/>
  <c r="T35" i="1"/>
  <c r="S35" i="1"/>
  <c r="P35" i="1"/>
  <c r="Q35" i="1" s="1"/>
  <c r="N35" i="1"/>
  <c r="J35" i="1"/>
  <c r="T34" i="1"/>
  <c r="S34" i="1"/>
  <c r="P34" i="1"/>
  <c r="Q34" i="1" s="1"/>
  <c r="N34" i="1"/>
  <c r="J34" i="1"/>
  <c r="T33" i="1"/>
  <c r="S33" i="1"/>
  <c r="P33" i="1"/>
  <c r="Q33" i="1" s="1"/>
  <c r="N33" i="1"/>
  <c r="J33" i="1"/>
  <c r="T32" i="1"/>
  <c r="S32" i="1"/>
  <c r="P32" i="1"/>
  <c r="Q32" i="1" s="1"/>
  <c r="N32" i="1"/>
  <c r="J32" i="1"/>
  <c r="T31" i="1"/>
  <c r="S31" i="1"/>
  <c r="P31" i="1"/>
  <c r="Q31" i="1" s="1"/>
  <c r="N31" i="1"/>
  <c r="J31" i="1"/>
  <c r="T30" i="1"/>
  <c r="S30" i="1"/>
  <c r="P30" i="1"/>
  <c r="N30" i="1"/>
  <c r="J30" i="1"/>
  <c r="T29" i="1"/>
  <c r="S29" i="1"/>
  <c r="P29" i="1"/>
  <c r="Q29" i="1" s="1"/>
  <c r="N29" i="1"/>
  <c r="J29" i="1"/>
  <c r="T28" i="1"/>
  <c r="S28" i="1"/>
  <c r="P28" i="1"/>
  <c r="Q28" i="1" s="1"/>
  <c r="N28" i="1"/>
  <c r="J28" i="1"/>
  <c r="T27" i="1"/>
  <c r="S27" i="1"/>
  <c r="P27" i="1"/>
  <c r="Q27" i="1" s="1"/>
  <c r="N27" i="1"/>
  <c r="J27" i="1"/>
  <c r="T26" i="1"/>
  <c r="S26" i="1"/>
  <c r="P26" i="1"/>
  <c r="Q26" i="1" s="1"/>
  <c r="N26" i="1"/>
  <c r="J26" i="1"/>
  <c r="T25" i="1"/>
  <c r="S25" i="1"/>
  <c r="P25" i="1"/>
  <c r="Q25" i="1" s="1"/>
  <c r="N25" i="1"/>
  <c r="J25" i="1"/>
  <c r="T24" i="1"/>
  <c r="S24" i="1"/>
  <c r="P24" i="1"/>
  <c r="Q24" i="1" s="1"/>
  <c r="N24" i="1"/>
  <c r="J24" i="1"/>
  <c r="T23" i="1"/>
  <c r="S23" i="1"/>
  <c r="P23" i="1"/>
  <c r="Q23" i="1" s="1"/>
  <c r="N23" i="1"/>
  <c r="J23" i="1"/>
  <c r="T22" i="1"/>
  <c r="S22" i="1"/>
  <c r="P22" i="1"/>
  <c r="Q22" i="1" s="1"/>
  <c r="N22" i="1"/>
  <c r="J22" i="1"/>
  <c r="T21" i="1"/>
  <c r="S21" i="1"/>
  <c r="P21" i="1"/>
  <c r="Q21" i="1" s="1"/>
  <c r="N21" i="1"/>
  <c r="J21" i="1"/>
  <c r="T20" i="1"/>
  <c r="S20" i="1"/>
  <c r="P20" i="1"/>
  <c r="Q20" i="1" s="1"/>
  <c r="N20" i="1"/>
  <c r="J20" i="1"/>
  <c r="T19" i="1"/>
  <c r="S19" i="1"/>
  <c r="P19" i="1"/>
  <c r="Q19" i="1" s="1"/>
  <c r="N19" i="1"/>
  <c r="J19" i="1"/>
  <c r="T18" i="1"/>
  <c r="S18" i="1"/>
  <c r="P18" i="1"/>
  <c r="Q18" i="1" s="1"/>
  <c r="N18" i="1"/>
  <c r="J18" i="1"/>
  <c r="T17" i="1"/>
  <c r="S17" i="1"/>
  <c r="P17" i="1"/>
  <c r="Q17" i="1" s="1"/>
  <c r="N17" i="1"/>
  <c r="J17" i="1"/>
  <c r="T16" i="1"/>
  <c r="S16" i="1"/>
  <c r="P16" i="1"/>
  <c r="Q16" i="1" s="1"/>
  <c r="N16" i="1"/>
  <c r="J16" i="1"/>
  <c r="T15" i="1"/>
  <c r="S15" i="1"/>
  <c r="P15" i="1"/>
  <c r="Q15" i="1" s="1"/>
  <c r="N15" i="1"/>
  <c r="J15" i="1"/>
  <c r="T14" i="1"/>
  <c r="S14" i="1"/>
  <c r="P14" i="1"/>
  <c r="Q14" i="1" s="1"/>
  <c r="N14" i="1"/>
  <c r="J14" i="1"/>
  <c r="T13" i="1"/>
  <c r="S13" i="1"/>
  <c r="P13" i="1"/>
  <c r="Q13" i="1" s="1"/>
  <c r="N13" i="1"/>
  <c r="J13" i="1"/>
  <c r="T12" i="1"/>
  <c r="S12" i="1"/>
  <c r="P12" i="1"/>
  <c r="Q12" i="1" s="1"/>
  <c r="N12" i="1"/>
  <c r="J12" i="1"/>
  <c r="T11" i="1"/>
  <c r="S11" i="1"/>
  <c r="P11" i="1"/>
  <c r="Q11" i="1" s="1"/>
  <c r="N11" i="1"/>
  <c r="J11" i="1"/>
  <c r="T10" i="1"/>
  <c r="S10" i="1"/>
  <c r="P10" i="1"/>
  <c r="Q10" i="1" s="1"/>
  <c r="N10" i="1"/>
  <c r="J10" i="1"/>
  <c r="T9" i="1"/>
  <c r="S9" i="1"/>
  <c r="P9" i="1"/>
  <c r="Q9" i="1" s="1"/>
  <c r="N9" i="1"/>
  <c r="J9" i="1"/>
  <c r="T8" i="1"/>
  <c r="S8" i="1"/>
  <c r="P8" i="1"/>
  <c r="Q8" i="1" s="1"/>
  <c r="N8" i="1"/>
  <c r="J8" i="1"/>
  <c r="T7" i="1"/>
  <c r="S7" i="1"/>
  <c r="P7" i="1"/>
  <c r="Q7" i="1" s="1"/>
  <c r="N7" i="1"/>
  <c r="J7" i="1"/>
  <c r="T6" i="1"/>
  <c r="S6" i="1"/>
  <c r="P6" i="1"/>
  <c r="Q6" i="1" s="1"/>
  <c r="N6" i="1"/>
  <c r="J6" i="1"/>
  <c r="T5" i="1"/>
  <c r="S5" i="1"/>
  <c r="P5" i="1"/>
  <c r="Q5" i="1" s="1"/>
  <c r="N5" i="1"/>
  <c r="J5" i="1"/>
  <c r="T4" i="1"/>
  <c r="S4" i="1"/>
  <c r="P4" i="1"/>
  <c r="Q4" i="1" s="1"/>
  <c r="N4" i="1"/>
  <c r="J4" i="1"/>
  <c r="T3" i="1"/>
  <c r="S3" i="1"/>
  <c r="P3" i="1"/>
  <c r="Q3" i="1" s="1"/>
  <c r="N3" i="1"/>
  <c r="J3" i="1"/>
  <c r="T2" i="1"/>
  <c r="S2" i="1"/>
  <c r="P2" i="1"/>
  <c r="N2" i="1"/>
  <c r="J2" i="1"/>
  <c r="O30" i="2"/>
  <c r="L30" i="2"/>
  <c r="I30" i="2"/>
  <c r="F30" i="2"/>
  <c r="C30" i="2"/>
  <c r="O29" i="2"/>
  <c r="L29" i="2"/>
  <c r="I29" i="2"/>
  <c r="F29" i="2"/>
  <c r="C29" i="2"/>
  <c r="O23" i="2"/>
  <c r="L23" i="2"/>
  <c r="I23" i="2"/>
  <c r="F23" i="2"/>
  <c r="C21" i="2"/>
  <c r="C23" i="2" s="1"/>
  <c r="O16" i="2"/>
  <c r="L16" i="2"/>
  <c r="F16" i="2"/>
  <c r="O15" i="2"/>
  <c r="O17" i="2" s="1"/>
  <c r="L15" i="2"/>
  <c r="L17" i="2" s="1"/>
  <c r="F15" i="2"/>
  <c r="F17" i="2" s="1"/>
  <c r="C15" i="2"/>
  <c r="C10" i="2"/>
  <c r="C9" i="2"/>
  <c r="O6" i="2"/>
  <c r="L6" i="2"/>
  <c r="F6" i="2"/>
  <c r="C6" i="2"/>
  <c r="C26" i="2" s="1"/>
  <c r="O5" i="2"/>
  <c r="L5" i="2"/>
  <c r="F5" i="2"/>
  <c r="C5" i="2"/>
  <c r="C25" i="2" s="1"/>
  <c r="O4" i="2"/>
  <c r="L4" i="2"/>
  <c r="C4" i="2"/>
  <c r="C27" i="2" s="1"/>
  <c r="Q30" i="1" l="1"/>
  <c r="C16" i="2"/>
  <c r="I16" i="2"/>
  <c r="I6" i="2"/>
  <c r="I26" i="2" s="1"/>
  <c r="I5" i="2"/>
  <c r="I4" i="2" s="1"/>
  <c r="I15" i="2"/>
  <c r="I17" i="2" s="1"/>
  <c r="Q2" i="1"/>
  <c r="R29" i="1"/>
  <c r="R98" i="1"/>
  <c r="O24" i="2"/>
  <c r="O8" i="2"/>
  <c r="O10" i="2"/>
  <c r="L24" i="2"/>
  <c r="L10" i="2"/>
  <c r="L8" i="2"/>
  <c r="I10" i="2"/>
  <c r="I24" i="2"/>
  <c r="I8" i="2"/>
  <c r="F24" i="2"/>
  <c r="F26" i="2"/>
  <c r="F10" i="2"/>
  <c r="C8" i="2"/>
  <c r="O7" i="2"/>
  <c r="O11" i="2"/>
  <c r="O12" i="2" s="1"/>
  <c r="O13" i="2" s="1"/>
  <c r="O9" i="2"/>
  <c r="L11" i="2"/>
  <c r="L9" i="2"/>
  <c r="L7" i="2"/>
  <c r="I9" i="2"/>
  <c r="I7" i="2"/>
  <c r="I25" i="2"/>
  <c r="I11" i="2"/>
  <c r="I12" i="2" s="1"/>
  <c r="I13" i="2" s="1"/>
  <c r="F9" i="2"/>
  <c r="F11" i="2" s="1"/>
  <c r="F25" i="2"/>
  <c r="F4" i="2"/>
  <c r="C11" i="2"/>
  <c r="C7" i="2"/>
  <c r="O27" i="2"/>
  <c r="O28" i="2"/>
  <c r="L27" i="2"/>
  <c r="L28" i="2"/>
  <c r="I27" i="2"/>
  <c r="I28" i="2"/>
  <c r="C17" i="2" l="1"/>
  <c r="C28" i="2" s="1"/>
  <c r="C24" i="2"/>
  <c r="F27" i="2"/>
  <c r="F28" i="2"/>
  <c r="C12" i="2"/>
  <c r="C13" i="2" s="1"/>
  <c r="L12" i="2"/>
  <c r="L13" i="2" s="1"/>
  <c r="F7" i="2"/>
  <c r="F12" i="2" s="1"/>
  <c r="F13" i="2" s="1"/>
  <c r="F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Admin:
Underlying stock symbol
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Admin:
What is the trading system or advisory service used to take the trade? The trade source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Admin:
Enter long if you entered with a debit, short if you entered with a credit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Admin:
The date you entered the trade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Admin:
This field should be expressed as an option price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 xml:space="preserve">Admin:
How many contracts did you trade?
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 xml:space="preserve">Admin:
Exit price, again expressed as an option price, for the first part, or total of the trade
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Admin:
How many contracts you closed on Exit #1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Admin:
The date Exit #1 executed</t>
        </r>
      </text>
    </comment>
    <comment ref="K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Admin:
Admin:
Exit price, again expressed as an option price, for the remainder</t>
        </r>
      </text>
    </comment>
    <comment ref="L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Admin:
How many contracts you closed on Exit #2</t>
        </r>
      </text>
    </comment>
    <comment ref="M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 xml:space="preserve">Admin:
The date Exit #2 executed
</t>
        </r>
      </text>
    </comment>
    <comment ref="O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Admin:
Total amount of commissions, in and out, for the entire trade (if you want this included in your results)</t>
        </r>
      </text>
    </comment>
    <comment ref="R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Admin:
Anything about the trade that you may want to reference down the road when analyzing previous results</t>
        </r>
      </text>
    </comment>
  </commentList>
</comments>
</file>

<file path=xl/sharedStrings.xml><?xml version="1.0" encoding="utf-8"?>
<sst xmlns="http://schemas.openxmlformats.org/spreadsheetml/2006/main" count="283" uniqueCount="105">
  <si>
    <t>v4.0</t>
  </si>
  <si>
    <t>Cumulative Results</t>
  </si>
  <si>
    <t>Trades 1-25</t>
  </si>
  <si>
    <t>Trades 26-50</t>
  </si>
  <si>
    <t>Trades 51-75</t>
  </si>
  <si>
    <t>Trades 76-100</t>
  </si>
  <si>
    <t># of Trades</t>
  </si>
  <si>
    <t># of Winners</t>
  </si>
  <si>
    <t># of Losers</t>
  </si>
  <si>
    <t>% Winners</t>
  </si>
  <si>
    <t>% Losers</t>
  </si>
  <si>
    <t>Avg. $ Win</t>
  </si>
  <si>
    <t>Avg. $ Loss</t>
  </si>
  <si>
    <t>R-to-R Ratio</t>
  </si>
  <si>
    <t>Expectancy %</t>
  </si>
  <si>
    <t>Kelly %</t>
  </si>
  <si>
    <t>Net Gains</t>
  </si>
  <si>
    <t>Net Losses</t>
  </si>
  <si>
    <t>Net Profit/Loss</t>
  </si>
  <si>
    <t>Contextual Info:</t>
  </si>
  <si>
    <t>Beginning Equity</t>
  </si>
  <si>
    <t>Trade Risk %</t>
  </si>
  <si>
    <t>Risk per Trade</t>
  </si>
  <si>
    <t>Loss-to-Risk Ratio</t>
  </si>
  <si>
    <t>Avg. Days in Winners</t>
  </si>
  <si>
    <t>Avg. Days in Losers</t>
  </si>
  <si>
    <t>Days after Scale out</t>
  </si>
  <si>
    <t>Net Return %</t>
  </si>
  <si>
    <t>Beginning Date</t>
  </si>
  <si>
    <t>End Date</t>
  </si>
  <si>
    <t>Forget it</t>
  </si>
  <si>
    <t>Symbol</t>
  </si>
  <si>
    <t>System</t>
  </si>
  <si>
    <t>Long/Short</t>
  </si>
  <si>
    <t>Trade Date</t>
  </si>
  <si>
    <t>Entry Price</t>
  </si>
  <si>
    <t>Shares</t>
  </si>
  <si>
    <t>Exit #1</t>
  </si>
  <si>
    <t># Exited</t>
  </si>
  <si>
    <t>Exit Date</t>
  </si>
  <si>
    <t># of Days</t>
  </si>
  <si>
    <t>Exit #2</t>
  </si>
  <si>
    <t># Exited2</t>
  </si>
  <si>
    <t>Exit Date3</t>
  </si>
  <si>
    <t># of Days4</t>
  </si>
  <si>
    <t>Comm.</t>
  </si>
  <si>
    <t>Gain/Loss</t>
  </si>
  <si>
    <t>ROI</t>
  </si>
  <si>
    <t>Trade Comments</t>
  </si>
  <si>
    <t>Exit #1 Gain</t>
  </si>
  <si>
    <t>Exit #2 Gain</t>
  </si>
  <si>
    <t>Total Gain</t>
  </si>
  <si>
    <t>Total ROI %</t>
  </si>
  <si>
    <t>R:R Ratio</t>
  </si>
  <si>
    <t>Win/Loss</t>
  </si>
  <si>
    <t>Strategy Notes</t>
  </si>
  <si>
    <t>Review Status</t>
  </si>
  <si>
    <t>ATMU</t>
  </si>
  <si>
    <t>VP_Grok</t>
  </si>
  <si>
    <t>Long</t>
  </si>
  <si>
    <t>VDNA</t>
  </si>
  <si>
    <t>Short</t>
  </si>
  <si>
    <t>MS</t>
  </si>
  <si>
    <t>PLTR</t>
  </si>
  <si>
    <t>TrailStop</t>
  </si>
  <si>
    <t>SKYT</t>
  </si>
  <si>
    <t>BBAI</t>
  </si>
  <si>
    <t>BTU</t>
  </si>
  <si>
    <t>CTVA</t>
  </si>
  <si>
    <t>KVUE</t>
  </si>
  <si>
    <t>LMT</t>
  </si>
  <si>
    <t>FIZZ</t>
  </si>
  <si>
    <t>MUSA</t>
  </si>
  <si>
    <t>ASGN</t>
  </si>
  <si>
    <t>WEN</t>
  </si>
  <si>
    <t>CNDT</t>
  </si>
  <si>
    <t>SAFX</t>
  </si>
  <si>
    <t>JBL</t>
  </si>
  <si>
    <t>GLP1</t>
  </si>
  <si>
    <t>ITGR</t>
  </si>
  <si>
    <t>P_115</t>
  </si>
  <si>
    <t>SOC</t>
  </si>
  <si>
    <t>SPSC</t>
  </si>
  <si>
    <t>EGY</t>
  </si>
  <si>
    <t>VP_GROK</t>
  </si>
  <si>
    <t>AUPH</t>
  </si>
  <si>
    <t>D_102</t>
  </si>
  <si>
    <t>GLPI</t>
  </si>
  <si>
    <t>BB</t>
  </si>
  <si>
    <t>CALM</t>
  </si>
  <si>
    <t>ARKB</t>
  </si>
  <si>
    <t>STX</t>
  </si>
  <si>
    <t>P_118</t>
  </si>
  <si>
    <t>SANM</t>
  </si>
  <si>
    <t>RDW</t>
  </si>
  <si>
    <t>URBN</t>
  </si>
  <si>
    <t>AMTM</t>
  </si>
  <si>
    <t>RCUS</t>
  </si>
  <si>
    <t>CTOR</t>
  </si>
  <si>
    <t>ASIX</t>
  </si>
  <si>
    <t>NMAX</t>
  </si>
  <si>
    <t>WVE</t>
  </si>
  <si>
    <t>GPK</t>
  </si>
  <si>
    <t>CW</t>
  </si>
  <si>
    <t>End of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</si>
</sst>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[$-409]d\-mmm;@"/>
    <numFmt numFmtId="166" formatCode="&quot;$&quot;#,##0"/>
    <numFmt numFmtId="167" formatCode="m/d/yy;@"/>
    <numFmt numFmtId="168" formatCode="0.0%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1F4E78"/>
      <name val="Calibri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0" borderId="4" xfId="0" applyFont="1" applyBorder="1" applyAlignment="1">
      <alignment horizontal="center"/>
    </xf>
    <xf numFmtId="10" fontId="4" fillId="0" borderId="4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164" fontId="1" fillId="0" borderId="0" xfId="0" applyNumberFormat="1" applyFont="1" applyAlignment="1" applyProtection="1">
      <alignment horizontal="center"/>
      <protection locked="0"/>
    </xf>
    <xf numFmtId="1" fontId="1" fillId="0" borderId="0" xfId="0" applyNumberFormat="1" applyFont="1" applyAlignment="1" applyProtection="1">
      <alignment horizontal="center"/>
      <protection locked="0"/>
    </xf>
    <xf numFmtId="165" fontId="1" fillId="0" borderId="0" xfId="0" applyNumberFormat="1" applyFont="1" applyAlignment="1" applyProtection="1">
      <alignment horizontal="center"/>
      <protection locked="0"/>
    </xf>
    <xf numFmtId="1" fontId="1" fillId="4" borderId="7" xfId="0" applyNumberFormat="1" applyFont="1" applyFill="1" applyBorder="1" applyAlignment="1" applyProtection="1">
      <alignment horizontal="center"/>
      <protection locked="0"/>
    </xf>
    <xf numFmtId="164" fontId="1" fillId="4" borderId="7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164" fontId="1" fillId="4" borderId="0" xfId="0" applyNumberFormat="1" applyFont="1" applyFill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165" fontId="0" fillId="0" borderId="0" xfId="0" applyNumberFormat="1" applyAlignment="1" applyProtection="1">
      <alignment horizontal="center"/>
      <protection locked="0"/>
    </xf>
    <xf numFmtId="1" fontId="0" fillId="4" borderId="7" xfId="0" applyNumberFormat="1" applyFill="1" applyBorder="1" applyAlignment="1" applyProtection="1">
      <alignment horizontal="center"/>
      <protection locked="0"/>
    </xf>
    <xf numFmtId="164" fontId="0" fillId="4" borderId="7" xfId="0" applyNumberForma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0" borderId="0" xfId="0" applyFont="1" applyAlignment="1" applyProtection="1">
      <alignment horizontal="left"/>
      <protection locked="0"/>
    </xf>
    <xf numFmtId="164" fontId="0" fillId="5" borderId="0" xfId="0" applyNumberFormat="1" applyFill="1" applyAlignment="1" applyProtection="1">
      <alignment horizontal="center"/>
      <protection locked="0"/>
    </xf>
    <xf numFmtId="0" fontId="0" fillId="5" borderId="0" xfId="0" applyFill="1" applyAlignment="1" applyProtection="1">
      <alignment horizontal="center"/>
      <protection locked="0"/>
    </xf>
    <xf numFmtId="1" fontId="0" fillId="5" borderId="0" xfId="0" applyNumberFormat="1" applyFill="1" applyAlignment="1" applyProtection="1">
      <alignment horizontal="center"/>
      <protection locked="0"/>
    </xf>
    <xf numFmtId="165" fontId="0" fillId="5" borderId="0" xfId="0" applyNumberFormat="1" applyFill="1" applyAlignment="1" applyProtection="1">
      <alignment horizontal="center"/>
      <protection locked="0"/>
    </xf>
    <xf numFmtId="1" fontId="0" fillId="5" borderId="7" xfId="0" applyNumberFormat="1" applyFill="1" applyBorder="1" applyAlignment="1" applyProtection="1">
      <alignment horizontal="center"/>
      <protection locked="0"/>
    </xf>
    <xf numFmtId="164" fontId="0" fillId="5" borderId="7" xfId="0" applyNumberFormat="1" applyFill="1" applyBorder="1" applyAlignment="1" applyProtection="1">
      <alignment horizontal="center"/>
      <protection locked="0"/>
    </xf>
    <xf numFmtId="0" fontId="0" fillId="5" borderId="0" xfId="0" applyFill="1" applyProtection="1">
      <protection locked="0"/>
    </xf>
    <xf numFmtId="164" fontId="0" fillId="5" borderId="0" xfId="0" applyNumberFormat="1" applyFill="1" applyProtection="1">
      <protection locked="0"/>
    </xf>
    <xf numFmtId="164" fontId="0" fillId="4" borderId="0" xfId="0" applyNumberFormat="1" applyFill="1" applyProtection="1">
      <protection locked="0"/>
    </xf>
    <xf numFmtId="0" fontId="0" fillId="4" borderId="0" xfId="0" applyFill="1" applyProtection="1">
      <protection locked="0"/>
    </xf>
    <xf numFmtId="1" fontId="0" fillId="4" borderId="7" xfId="0" applyNumberFormat="1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/>
    <xf numFmtId="0" fontId="4" fillId="0" borderId="3" xfId="0" applyFont="1" applyBorder="1"/>
    <xf numFmtId="0" fontId="4" fillId="0" borderId="0" xfId="0" applyFont="1"/>
    <xf numFmtId="10" fontId="0" fillId="0" borderId="0" xfId="0" applyNumberFormat="1"/>
    <xf numFmtId="10" fontId="4" fillId="0" borderId="3" xfId="0" applyNumberFormat="1" applyFont="1" applyBorder="1"/>
    <xf numFmtId="10" fontId="4" fillId="0" borderId="0" xfId="0" applyNumberFormat="1" applyFont="1"/>
    <xf numFmtId="164" fontId="4" fillId="0" borderId="0" xfId="0" applyNumberFormat="1" applyFont="1"/>
    <xf numFmtId="164" fontId="4" fillId="0" borderId="3" xfId="0" applyNumberFormat="1" applyFont="1" applyBorder="1"/>
    <xf numFmtId="2" fontId="4" fillId="0" borderId="0" xfId="0" applyNumberFormat="1" applyFont="1"/>
    <xf numFmtId="2" fontId="4" fillId="0" borderId="3" xfId="0" applyNumberFormat="1" applyFont="1" applyBorder="1"/>
    <xf numFmtId="0" fontId="4" fillId="0" borderId="5" xfId="0" applyFont="1" applyBorder="1"/>
    <xf numFmtId="164" fontId="4" fillId="0" borderId="5" xfId="0" applyNumberFormat="1" applyFont="1" applyBorder="1"/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164" fontId="3" fillId="0" borderId="1" xfId="0" applyNumberFormat="1" applyFont="1" applyBorder="1"/>
    <xf numFmtId="164" fontId="0" fillId="4" borderId="0" xfId="0" applyNumberFormat="1" applyFill="1" applyAlignment="1" applyProtection="1">
      <alignment horizontal="center"/>
      <protection locked="0"/>
    </xf>
    <xf numFmtId="10" fontId="1" fillId="4" borderId="0" xfId="0" applyNumberFormat="1" applyFont="1" applyFill="1" applyAlignment="1" applyProtection="1">
      <alignment horizontal="center"/>
      <protection locked="0"/>
    </xf>
    <xf numFmtId="10" fontId="0" fillId="4" borderId="0" xfId="0" applyNumberFormat="1" applyFill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9" fontId="4" fillId="0" borderId="4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67" fontId="4" fillId="0" borderId="4" xfId="0" applyNumberFormat="1" applyFont="1" applyBorder="1" applyAlignment="1">
      <alignment horizontal="center"/>
    </xf>
    <xf numFmtId="167" fontId="4" fillId="0" borderId="6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6" fontId="4" fillId="2" borderId="7" xfId="0" applyNumberFormat="1" applyFont="1" applyFill="1" applyBorder="1" applyAlignment="1" applyProtection="1">
      <alignment horizontal="center"/>
      <protection locked="0"/>
    </xf>
    <xf numFmtId="168" fontId="4" fillId="2" borderId="7" xfId="0" applyNumberFormat="1" applyFont="1" applyFill="1" applyBorder="1" applyAlignment="1" applyProtection="1">
      <alignment horizontal="center"/>
      <protection locked="0"/>
    </xf>
    <xf numFmtId="167" fontId="4" fillId="0" borderId="0" xfId="0" applyNumberFormat="1" applyFont="1"/>
    <xf numFmtId="167" fontId="4" fillId="0" borderId="3" xfId="0" applyNumberFormat="1" applyFont="1" applyBorder="1"/>
    <xf numFmtId="167" fontId="4" fillId="0" borderId="5" xfId="0" applyNumberFormat="1" applyFont="1" applyBorder="1"/>
    <xf numFmtId="164" fontId="0" fillId="0" borderId="0" xfId="0" applyNumberFormat="1" applyProtection="1">
      <protection locked="0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deLog" displayName="TradeLog" ref="A1:Z98">
  <autoFilter ref="A1:Z98" xr:uid="{00000000-0009-0000-0100-000001000000}"/>
  <tableColumns count="26">
    <tableColumn id="1" xr3:uid="{00000000-0010-0000-0000-000001000000}" name="Symbol"/>
    <tableColumn id="2" xr3:uid="{00000000-0010-0000-0000-000002000000}" name="System"/>
    <tableColumn id="3" xr3:uid="{00000000-0010-0000-0000-000003000000}" name="Long/Short"/>
    <tableColumn id="4" xr3:uid="{00000000-0010-0000-0000-000004000000}" name="Trade Date"/>
    <tableColumn id="5" xr3:uid="{00000000-0010-0000-0000-000005000000}" name="Entry Price"/>
    <tableColumn id="6" xr3:uid="{00000000-0010-0000-0000-000006000000}" name="Shares"/>
    <tableColumn id="7" xr3:uid="{00000000-0010-0000-0000-000007000000}" name="Exit #1"/>
    <tableColumn id="8" xr3:uid="{00000000-0010-0000-0000-000008000000}" name="# Exited"/>
    <tableColumn id="9" xr3:uid="{00000000-0010-0000-0000-000009000000}" name="Exit Date"/>
    <tableColumn id="10" xr3:uid="{00000000-0010-0000-0000-00000A000000}" name="# of Days"/>
    <tableColumn id="11" xr3:uid="{00000000-0010-0000-0000-00000B000000}" name="Exit #2"/>
    <tableColumn id="12" xr3:uid="{00000000-0010-0000-0000-00000C000000}" name="# Exited2"/>
    <tableColumn id="13" xr3:uid="{00000000-0010-0000-0000-00000D000000}" name="Exit Date3"/>
    <tableColumn id="14" xr3:uid="{00000000-0010-0000-0000-00000E000000}" name="# of Days4"/>
    <tableColumn id="15" xr3:uid="{00000000-0010-0000-0000-00000F000000}" name="Comm."/>
    <tableColumn id="16" xr3:uid="{00000000-0010-0000-0000-000010000000}" name="Gain/Loss"/>
    <tableColumn id="17" xr3:uid="{00000000-0010-0000-0000-000011000000}" name="ROI"/>
    <tableColumn id="18" xr3:uid="{00000000-0010-0000-0000-000012000000}" name="Trade Comments"/>
    <tableColumn id="19" xr3:uid="{00000000-0010-0000-0000-000013000000}" name="Exit #1 Gain"/>
    <tableColumn id="20" xr3:uid="{00000000-0010-0000-0000-000014000000}" name="Exit #2 Gain"/>
    <tableColumn id="21" xr3:uid="{00000000-0010-0000-0000-000015000000}" name="Total Gain"/>
    <tableColumn id="22" xr3:uid="{00000000-0010-0000-0000-000016000000}" name="Total ROI %"/>
    <tableColumn id="23" xr3:uid="{00000000-0010-0000-0000-000017000000}" name="R:R Ratio"/>
    <tableColumn id="24" xr3:uid="{00000000-0010-0000-0000-000018000000}" name="Win/Loss"/>
    <tableColumn id="25" xr3:uid="{00000000-0010-0000-0000-000019000000}" name="Strategy Notes"/>
    <tableColumn id="26" xr3:uid="{00000000-0010-0000-0000-00001A000000}" name="Review 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"/>
  <sheetViews>
    <sheetView tabSelected="1" workbookViewId="0">
      <pane ySplit="1" topLeftCell="A2" activePane="bottomLeft" state="frozen"/>
      <selection pane="bottomLeft" activeCell="A15" sqref="A15:XFD15"/>
    </sheetView>
  </sheetViews>
  <sheetFormatPr defaultColWidth="9.140625" defaultRowHeight="15" x14ac:dyDescent="0.25"/>
  <cols>
    <col min="1" max="1" width="9.42578125" style="14" customWidth="1"/>
    <col min="2" max="2" width="11" style="14" customWidth="1"/>
    <col min="3" max="3" width="13" style="14" customWidth="1"/>
    <col min="4" max="4" width="12.7109375" style="14" customWidth="1"/>
    <col min="5" max="5" width="13" style="16" customWidth="1"/>
    <col min="6" max="6" width="10.7109375" style="14" customWidth="1"/>
    <col min="7" max="7" width="9.28515625" style="16" customWidth="1"/>
    <col min="8" max="8" width="10.28515625" style="17" customWidth="1"/>
    <col min="9" max="9" width="11.140625" style="18" customWidth="1"/>
    <col min="10" max="10" width="11.42578125" style="19" customWidth="1"/>
    <col min="11" max="11" width="9.28515625" style="16" customWidth="1"/>
    <col min="12" max="12" width="11.28515625" style="17" customWidth="1"/>
    <col min="13" max="13" width="12.140625" style="18" customWidth="1"/>
    <col min="14" max="14" width="12.42578125" style="19" customWidth="1"/>
    <col min="15" max="15" width="9.42578125" style="16" customWidth="1"/>
    <col min="16" max="16" width="12.5703125" style="20" customWidth="1"/>
    <col min="17" max="17" width="12.5703125" style="56" customWidth="1"/>
    <col min="18" max="18" width="46" style="21" customWidth="1"/>
    <col min="19" max="19" width="10.140625" style="31" customWidth="1"/>
    <col min="20" max="20" width="10.140625" style="32" bestFit="1" customWidth="1"/>
    <col min="21" max="23" width="11.140625" style="21" bestFit="1" customWidth="1"/>
    <col min="24" max="26" width="12.140625" style="21" bestFit="1" customWidth="1"/>
    <col min="27" max="27" width="9.140625" style="21" customWidth="1"/>
    <col min="28" max="16384" width="9.140625" style="21"/>
  </cols>
  <sheetData>
    <row r="1" spans="1:26" s="5" customFormat="1" ht="12.95" customHeight="1" x14ac:dyDescent="0.2">
      <c r="A1" s="5" t="s">
        <v>31</v>
      </c>
      <c r="B1" s="5" t="s">
        <v>32</v>
      </c>
      <c r="C1" s="5" t="s">
        <v>33</v>
      </c>
      <c r="D1" s="5" t="s">
        <v>34</v>
      </c>
      <c r="E1" s="6" t="s">
        <v>35</v>
      </c>
      <c r="F1" s="5" t="s">
        <v>36</v>
      </c>
      <c r="G1" s="6" t="s">
        <v>37</v>
      </c>
      <c r="H1" s="7" t="s">
        <v>38</v>
      </c>
      <c r="I1" s="8" t="s">
        <v>39</v>
      </c>
      <c r="J1" s="9" t="s">
        <v>40</v>
      </c>
      <c r="K1" s="6" t="s">
        <v>41</v>
      </c>
      <c r="L1" s="7" t="s">
        <v>42</v>
      </c>
      <c r="M1" s="8" t="s">
        <v>43</v>
      </c>
      <c r="N1" s="9" t="s">
        <v>44</v>
      </c>
      <c r="O1" s="6" t="s">
        <v>45</v>
      </c>
      <c r="P1" s="10" t="s">
        <v>46</v>
      </c>
      <c r="Q1" s="57" t="s">
        <v>47</v>
      </c>
      <c r="R1" s="11" t="s">
        <v>48</v>
      </c>
      <c r="S1" s="12" t="s">
        <v>49</v>
      </c>
      <c r="T1" s="13" t="s">
        <v>50</v>
      </c>
      <c r="U1" s="5" t="s">
        <v>51</v>
      </c>
      <c r="V1" s="5" t="s">
        <v>52</v>
      </c>
      <c r="W1" s="5" t="s">
        <v>53</v>
      </c>
      <c r="X1" s="5" t="s">
        <v>54</v>
      </c>
      <c r="Y1" s="5" t="s">
        <v>55</v>
      </c>
      <c r="Z1" s="5" t="s">
        <v>56</v>
      </c>
    </row>
    <row r="2" spans="1:26" x14ac:dyDescent="0.25">
      <c r="A2" s="14" t="s">
        <v>57</v>
      </c>
      <c r="B2" s="14" t="s">
        <v>58</v>
      </c>
      <c r="C2" s="14" t="s">
        <v>59</v>
      </c>
      <c r="D2" s="15">
        <v>45965</v>
      </c>
      <c r="E2" s="16">
        <v>45.36</v>
      </c>
      <c r="F2" s="14">
        <v>287</v>
      </c>
      <c r="G2" s="16">
        <v>50.26</v>
      </c>
      <c r="H2" s="17">
        <v>287</v>
      </c>
      <c r="I2" s="18">
        <v>45968</v>
      </c>
      <c r="J2" s="33">
        <f t="shared" ref="J2:J43" si="0">IF(I2="","",I2-D2)</f>
        <v>3</v>
      </c>
      <c r="N2" s="33" t="str">
        <f t="shared" ref="N2:N43" si="1">IF(M2="","",M2-I2)</f>
        <v/>
      </c>
      <c r="P2" s="34">
        <f t="shared" ref="P2:P43" si="2">IF(OR($F2=0, SUM($H2, $L2)&lt;$F2), "", IF($C2="Long", (IFERROR($G2*$H2,0) + IFERROR($K2*$L2,0)) - ($E2*$F2), ($E2*$F2) - (IFERROR($G2*$H2,0) + IFERROR($K2*$L2,0))) - IFERROR($O2,0))</f>
        <v>1406.2999999999993</v>
      </c>
      <c r="Q2" s="58">
        <f t="shared" ref="Q2:Q43" si="3">IF(P2="", "", P2 / ($E2 * $F2))</f>
        <v>0.10802469135802464</v>
      </c>
      <c r="S2" s="35">
        <f t="shared" ref="S2:S43" si="4">IF(C2="Long",((G2-E2)*H2),((E2-G2)*H2))</f>
        <v>1406.2999999999995</v>
      </c>
      <c r="T2" s="35">
        <f t="shared" ref="T2:T43" si="5">IF(C2="Long",((K2-E2)*L2),((E2-K2)*L2))</f>
        <v>0</v>
      </c>
      <c r="V2" t="s">
        <v>59</v>
      </c>
    </row>
    <row r="3" spans="1:26" x14ac:dyDescent="0.25">
      <c r="A3" s="14" t="s">
        <v>60</v>
      </c>
      <c r="B3" s="14" t="s">
        <v>58</v>
      </c>
      <c r="C3" s="14" t="s">
        <v>61</v>
      </c>
      <c r="D3" s="15">
        <v>45965</v>
      </c>
      <c r="E3" s="16">
        <v>4.4000000000000004</v>
      </c>
      <c r="F3" s="14">
        <v>100</v>
      </c>
      <c r="G3" s="16">
        <v>4.37</v>
      </c>
      <c r="H3" s="17">
        <v>100</v>
      </c>
      <c r="I3" s="18">
        <v>45968</v>
      </c>
      <c r="J3" s="33">
        <f t="shared" si="0"/>
        <v>3</v>
      </c>
      <c r="N3" s="33" t="str">
        <f t="shared" si="1"/>
        <v/>
      </c>
      <c r="P3" s="34">
        <f t="shared" si="2"/>
        <v>3.0000000000000568</v>
      </c>
      <c r="Q3" s="58">
        <f t="shared" si="3"/>
        <v>6.8181818181819462E-3</v>
      </c>
      <c r="S3" s="35">
        <f t="shared" si="4"/>
        <v>3.0000000000000249</v>
      </c>
      <c r="T3" s="35">
        <f t="shared" si="5"/>
        <v>0</v>
      </c>
      <c r="V3" t="s">
        <v>61</v>
      </c>
    </row>
    <row r="4" spans="1:26" x14ac:dyDescent="0.25">
      <c r="A4" s="14" t="s">
        <v>57</v>
      </c>
      <c r="B4" s="14" t="s">
        <v>58</v>
      </c>
      <c r="C4" s="14" t="s">
        <v>59</v>
      </c>
      <c r="D4" s="18">
        <v>45965</v>
      </c>
      <c r="E4" s="16">
        <v>45.36</v>
      </c>
      <c r="F4" s="14">
        <v>287</v>
      </c>
      <c r="G4" s="16">
        <v>50.26</v>
      </c>
      <c r="H4" s="17">
        <v>287</v>
      </c>
      <c r="I4" s="18">
        <v>45968</v>
      </c>
      <c r="J4" s="33">
        <f t="shared" si="0"/>
        <v>3</v>
      </c>
      <c r="N4" s="33" t="str">
        <f t="shared" si="1"/>
        <v/>
      </c>
      <c r="P4" s="34">
        <f t="shared" si="2"/>
        <v>1406.2999999999993</v>
      </c>
      <c r="Q4" s="58">
        <f t="shared" si="3"/>
        <v>0.10802469135802464</v>
      </c>
      <c r="S4" s="35">
        <f t="shared" si="4"/>
        <v>1406.2999999999995</v>
      </c>
      <c r="T4" s="35">
        <f t="shared" si="5"/>
        <v>0</v>
      </c>
    </row>
    <row r="5" spans="1:26" x14ac:dyDescent="0.25">
      <c r="A5" s="14" t="s">
        <v>62</v>
      </c>
      <c r="B5" s="14" t="s">
        <v>58</v>
      </c>
      <c r="C5" s="14" t="s">
        <v>59</v>
      </c>
      <c r="D5" s="15">
        <v>45971</v>
      </c>
      <c r="E5" s="16">
        <v>165.02</v>
      </c>
      <c r="F5" s="14">
        <v>100</v>
      </c>
      <c r="G5" s="16">
        <v>169.08</v>
      </c>
      <c r="H5" s="17">
        <v>100</v>
      </c>
      <c r="I5" s="18">
        <v>45973</v>
      </c>
      <c r="J5" s="33">
        <f t="shared" si="0"/>
        <v>2</v>
      </c>
      <c r="N5" s="33" t="str">
        <f t="shared" si="1"/>
        <v/>
      </c>
      <c r="P5" s="34">
        <f t="shared" si="2"/>
        <v>406</v>
      </c>
      <c r="Q5" s="58">
        <f t="shared" si="3"/>
        <v>2.4603078414737609E-2</v>
      </c>
      <c r="S5" s="35">
        <f t="shared" si="4"/>
        <v>406.00000000000023</v>
      </c>
      <c r="T5" s="35">
        <f t="shared" si="5"/>
        <v>0</v>
      </c>
    </row>
    <row r="6" spans="1:26" x14ac:dyDescent="0.25">
      <c r="A6" s="14" t="s">
        <v>63</v>
      </c>
      <c r="B6" s="14" t="s">
        <v>58</v>
      </c>
      <c r="C6" s="14" t="s">
        <v>59</v>
      </c>
      <c r="D6" s="18">
        <v>45971</v>
      </c>
      <c r="E6" s="16">
        <v>193.67</v>
      </c>
      <c r="F6" s="14">
        <v>36</v>
      </c>
      <c r="G6" s="16">
        <v>194</v>
      </c>
      <c r="H6" s="17">
        <v>36</v>
      </c>
      <c r="I6" s="18">
        <v>45971</v>
      </c>
      <c r="J6" s="33">
        <f t="shared" si="0"/>
        <v>0</v>
      </c>
      <c r="N6" s="33" t="str">
        <f t="shared" si="1"/>
        <v/>
      </c>
      <c r="P6" s="34">
        <f t="shared" si="2"/>
        <v>11.880000000000109</v>
      </c>
      <c r="Q6" s="58">
        <f t="shared" si="3"/>
        <v>1.7039293643827285E-3</v>
      </c>
      <c r="R6" s="21" t="s">
        <v>64</v>
      </c>
      <c r="S6" s="35">
        <f t="shared" si="4"/>
        <v>11.88000000000045</v>
      </c>
      <c r="T6" s="35">
        <f t="shared" si="5"/>
        <v>0</v>
      </c>
    </row>
    <row r="7" spans="1:26" x14ac:dyDescent="0.25">
      <c r="A7" s="14" t="s">
        <v>65</v>
      </c>
      <c r="B7" s="14" t="s">
        <v>58</v>
      </c>
      <c r="C7" s="14" t="s">
        <v>59</v>
      </c>
      <c r="D7" s="18">
        <v>45971</v>
      </c>
      <c r="E7" s="16">
        <v>23.56</v>
      </c>
      <c r="F7" s="14">
        <v>240</v>
      </c>
      <c r="G7" s="16">
        <v>24</v>
      </c>
      <c r="H7" s="17">
        <v>240</v>
      </c>
      <c r="I7" s="18">
        <v>45971</v>
      </c>
      <c r="J7" s="33">
        <f t="shared" si="0"/>
        <v>0</v>
      </c>
      <c r="N7" s="33" t="str">
        <f t="shared" si="1"/>
        <v/>
      </c>
      <c r="P7" s="34">
        <f t="shared" si="2"/>
        <v>105.60000000000036</v>
      </c>
      <c r="Q7" s="58">
        <f t="shared" si="3"/>
        <v>1.8675721561969505E-2</v>
      </c>
      <c r="S7" s="35">
        <f t="shared" si="4"/>
        <v>105.60000000000031</v>
      </c>
      <c r="T7" s="35">
        <f t="shared" si="5"/>
        <v>0</v>
      </c>
    </row>
    <row r="8" spans="1:26" x14ac:dyDescent="0.25">
      <c r="A8" s="14" t="s">
        <v>66</v>
      </c>
      <c r="B8" s="14" t="s">
        <v>58</v>
      </c>
      <c r="C8" s="14" t="s">
        <v>59</v>
      </c>
      <c r="D8" s="18">
        <v>45973</v>
      </c>
      <c r="E8" s="16">
        <v>7.14</v>
      </c>
      <c r="F8" s="14">
        <v>200</v>
      </c>
      <c r="G8" s="16">
        <v>6.35</v>
      </c>
      <c r="H8" s="17">
        <v>200</v>
      </c>
      <c r="I8" s="18">
        <v>45974</v>
      </c>
      <c r="J8" s="33">
        <f t="shared" si="0"/>
        <v>1</v>
      </c>
      <c r="N8" s="33" t="str">
        <f t="shared" si="1"/>
        <v/>
      </c>
      <c r="P8" s="34">
        <f t="shared" si="2"/>
        <v>-158</v>
      </c>
      <c r="Q8" s="58">
        <f t="shared" si="3"/>
        <v>-0.11064425770308123</v>
      </c>
      <c r="S8" s="35">
        <f t="shared" si="4"/>
        <v>-158</v>
      </c>
      <c r="T8" s="35">
        <f t="shared" si="5"/>
        <v>0</v>
      </c>
    </row>
    <row r="9" spans="1:26" x14ac:dyDescent="0.25">
      <c r="A9" s="14" t="s">
        <v>67</v>
      </c>
      <c r="B9" s="14" t="s">
        <v>58</v>
      </c>
      <c r="C9" s="14" t="s">
        <v>59</v>
      </c>
      <c r="D9" s="18">
        <v>45973</v>
      </c>
      <c r="E9" s="16">
        <v>30.18</v>
      </c>
      <c r="F9" s="14">
        <v>362</v>
      </c>
      <c r="G9" s="16">
        <v>29.34</v>
      </c>
      <c r="H9" s="17">
        <v>362</v>
      </c>
      <c r="I9" s="18">
        <v>45974</v>
      </c>
      <c r="J9" s="33">
        <f t="shared" si="0"/>
        <v>1</v>
      </c>
      <c r="N9" s="33" t="str">
        <f t="shared" si="1"/>
        <v/>
      </c>
      <c r="P9" s="34">
        <f t="shared" si="2"/>
        <v>-304.07999999999993</v>
      </c>
      <c r="Q9" s="58">
        <f t="shared" si="3"/>
        <v>-2.7833001988071565E-2</v>
      </c>
      <c r="S9" s="35">
        <f t="shared" si="4"/>
        <v>-304.07999999999993</v>
      </c>
      <c r="T9" s="35">
        <f t="shared" si="5"/>
        <v>0</v>
      </c>
    </row>
    <row r="10" spans="1:26" x14ac:dyDescent="0.25">
      <c r="A10" s="14" t="s">
        <v>68</v>
      </c>
      <c r="B10" s="14" t="s">
        <v>58</v>
      </c>
      <c r="C10" s="14" t="s">
        <v>59</v>
      </c>
      <c r="D10" s="18">
        <v>45973</v>
      </c>
      <c r="E10" s="16">
        <v>66.75</v>
      </c>
      <c r="F10" s="14">
        <v>324</v>
      </c>
      <c r="G10" s="16">
        <v>65.13</v>
      </c>
      <c r="H10" s="17">
        <v>324</v>
      </c>
      <c r="I10" s="18">
        <v>45978</v>
      </c>
      <c r="J10" s="33">
        <f t="shared" si="0"/>
        <v>5</v>
      </c>
      <c r="N10" s="33" t="str">
        <f t="shared" si="1"/>
        <v/>
      </c>
      <c r="P10" s="34">
        <f t="shared" si="2"/>
        <v>-524.88000000000102</v>
      </c>
      <c r="Q10" s="58">
        <f t="shared" si="3"/>
        <v>-2.4269662921348363E-2</v>
      </c>
      <c r="S10" s="35">
        <f t="shared" si="4"/>
        <v>-524.88000000000147</v>
      </c>
      <c r="T10" s="35">
        <f t="shared" si="5"/>
        <v>0</v>
      </c>
    </row>
    <row r="11" spans="1:26" x14ac:dyDescent="0.25">
      <c r="A11" s="14" t="s">
        <v>69</v>
      </c>
      <c r="B11" s="14" t="s">
        <v>58</v>
      </c>
      <c r="C11" s="14" t="s">
        <v>59</v>
      </c>
      <c r="D11" s="18">
        <v>45973</v>
      </c>
      <c r="E11" s="16">
        <v>16.84</v>
      </c>
      <c r="F11" s="14">
        <v>729</v>
      </c>
      <c r="G11" s="16">
        <v>16.12</v>
      </c>
      <c r="H11" s="17">
        <v>729</v>
      </c>
      <c r="I11" s="18">
        <v>45978</v>
      </c>
      <c r="J11" s="33">
        <f t="shared" si="0"/>
        <v>5</v>
      </c>
      <c r="N11" s="33" t="str">
        <f t="shared" si="1"/>
        <v/>
      </c>
      <c r="P11" s="34">
        <f t="shared" si="2"/>
        <v>-524.8799999999992</v>
      </c>
      <c r="Q11" s="58">
        <f t="shared" si="3"/>
        <v>-4.2755344418052191E-2</v>
      </c>
      <c r="S11" s="35">
        <f t="shared" si="4"/>
        <v>-524.8799999999992</v>
      </c>
      <c r="T11" s="35">
        <f t="shared" si="5"/>
        <v>0</v>
      </c>
    </row>
    <row r="12" spans="1:26" x14ac:dyDescent="0.25">
      <c r="A12" s="14" t="s">
        <v>70</v>
      </c>
      <c r="B12" s="14" t="s">
        <v>58</v>
      </c>
      <c r="C12" s="14" t="s">
        <v>59</v>
      </c>
      <c r="D12" s="18">
        <v>45980</v>
      </c>
      <c r="E12" s="16">
        <v>471.76</v>
      </c>
      <c r="F12" s="14">
        <v>50</v>
      </c>
      <c r="G12" s="16">
        <v>481.94</v>
      </c>
      <c r="H12" s="17">
        <v>50</v>
      </c>
      <c r="I12" s="18">
        <v>45985</v>
      </c>
      <c r="J12" s="33">
        <f t="shared" si="0"/>
        <v>5</v>
      </c>
      <c r="N12" s="33" t="str">
        <f t="shared" si="1"/>
        <v/>
      </c>
      <c r="P12" s="34">
        <f t="shared" si="2"/>
        <v>509</v>
      </c>
      <c r="Q12" s="58">
        <f t="shared" si="3"/>
        <v>2.1578768865524844E-2</v>
      </c>
      <c r="S12" s="35">
        <f t="shared" si="4"/>
        <v>509.00000000000034</v>
      </c>
      <c r="T12" s="35">
        <f t="shared" si="5"/>
        <v>0</v>
      </c>
    </row>
    <row r="13" spans="1:26" x14ac:dyDescent="0.25">
      <c r="A13" s="14" t="s">
        <v>71</v>
      </c>
      <c r="B13" s="14" t="s">
        <v>58</v>
      </c>
      <c r="C13" s="14" t="s">
        <v>59</v>
      </c>
      <c r="D13" s="18">
        <v>45980</v>
      </c>
      <c r="E13" s="16">
        <v>33.54</v>
      </c>
      <c r="F13" s="14">
        <v>108</v>
      </c>
      <c r="G13" s="16">
        <v>34.909999999999997</v>
      </c>
      <c r="H13" s="17">
        <v>108</v>
      </c>
      <c r="I13" s="18">
        <v>45992</v>
      </c>
      <c r="J13" s="33">
        <f t="shared" si="0"/>
        <v>12</v>
      </c>
      <c r="N13" s="33" t="str">
        <f t="shared" si="1"/>
        <v/>
      </c>
      <c r="P13" s="34">
        <f t="shared" si="2"/>
        <v>147.96000000000004</v>
      </c>
      <c r="Q13" s="58">
        <f t="shared" si="3"/>
        <v>4.0846750149075746E-2</v>
      </c>
      <c r="S13" s="35">
        <f t="shared" si="4"/>
        <v>147.95999999999972</v>
      </c>
      <c r="T13" s="35">
        <f t="shared" si="5"/>
        <v>0</v>
      </c>
    </row>
    <row r="14" spans="1:26" x14ac:dyDescent="0.25">
      <c r="A14" s="14" t="s">
        <v>72</v>
      </c>
      <c r="B14" s="14" t="s">
        <v>58</v>
      </c>
      <c r="C14" s="14" t="s">
        <v>59</v>
      </c>
      <c r="D14" s="18">
        <v>45980</v>
      </c>
      <c r="E14" s="16">
        <v>368.57</v>
      </c>
      <c r="F14" s="14">
        <v>28</v>
      </c>
      <c r="G14" s="16">
        <v>397.42</v>
      </c>
      <c r="H14" s="17">
        <v>28</v>
      </c>
      <c r="I14" s="18">
        <v>45999</v>
      </c>
      <c r="J14" s="33">
        <f t="shared" si="0"/>
        <v>19</v>
      </c>
      <c r="N14" s="33" t="str">
        <f t="shared" si="1"/>
        <v/>
      </c>
      <c r="P14" s="34">
        <f t="shared" si="2"/>
        <v>807.80000000000109</v>
      </c>
      <c r="Q14" s="58">
        <f t="shared" si="3"/>
        <v>7.8275497191849688E-2</v>
      </c>
      <c r="S14" s="35">
        <f t="shared" si="4"/>
        <v>807.80000000000064</v>
      </c>
      <c r="T14" s="35">
        <f t="shared" si="5"/>
        <v>0</v>
      </c>
    </row>
    <row r="15" spans="1:26" x14ac:dyDescent="0.25">
      <c r="A15" s="14" t="s">
        <v>73</v>
      </c>
      <c r="B15" s="14" t="s">
        <v>58</v>
      </c>
      <c r="C15" s="14" t="s">
        <v>59</v>
      </c>
      <c r="D15" s="18">
        <v>45986</v>
      </c>
      <c r="E15" s="16">
        <v>45.95</v>
      </c>
      <c r="F15" s="14">
        <v>10</v>
      </c>
      <c r="G15" s="16">
        <v>48.42</v>
      </c>
      <c r="H15" s="17">
        <v>10</v>
      </c>
      <c r="I15" s="18">
        <v>46010</v>
      </c>
      <c r="J15" s="33">
        <f t="shared" si="0"/>
        <v>24</v>
      </c>
      <c r="N15" s="33" t="str">
        <f t="shared" si="1"/>
        <v/>
      </c>
      <c r="P15" s="34">
        <f t="shared" si="2"/>
        <v>24.700000000000045</v>
      </c>
      <c r="Q15" s="58">
        <f t="shared" si="3"/>
        <v>5.3754080522306957E-2</v>
      </c>
      <c r="S15" s="35">
        <f t="shared" si="4"/>
        <v>24.699999999999989</v>
      </c>
      <c r="T15" s="35">
        <f t="shared" si="5"/>
        <v>0</v>
      </c>
    </row>
    <row r="16" spans="1:26" x14ac:dyDescent="0.25">
      <c r="A16" s="14" t="s">
        <v>74</v>
      </c>
      <c r="B16" s="14" t="s">
        <v>58</v>
      </c>
      <c r="C16" s="14" t="s">
        <v>59</v>
      </c>
      <c r="D16" s="18">
        <v>45992</v>
      </c>
      <c r="E16" s="16">
        <v>8.2200000000000006</v>
      </c>
      <c r="F16" s="14">
        <v>500</v>
      </c>
      <c r="G16" s="16">
        <v>8.2100000000000009</v>
      </c>
      <c r="H16" s="17">
        <v>500</v>
      </c>
      <c r="I16" s="18">
        <v>45993</v>
      </c>
      <c r="J16" s="33">
        <f t="shared" si="0"/>
        <v>1</v>
      </c>
      <c r="N16" s="33" t="str">
        <f t="shared" si="1"/>
        <v/>
      </c>
      <c r="P16" s="34">
        <f t="shared" si="2"/>
        <v>-5</v>
      </c>
      <c r="Q16" s="58">
        <f t="shared" si="3"/>
        <v>-1.2165450121654502E-3</v>
      </c>
      <c r="S16" s="35">
        <f t="shared" si="4"/>
        <v>-4.9999999999998934</v>
      </c>
      <c r="T16" s="35">
        <f t="shared" si="5"/>
        <v>0</v>
      </c>
    </row>
    <row r="17" spans="1:20" x14ac:dyDescent="0.25">
      <c r="A17" s="14" t="s">
        <v>74</v>
      </c>
      <c r="B17" s="14" t="s">
        <v>58</v>
      </c>
      <c r="C17" s="14" t="s">
        <v>59</v>
      </c>
      <c r="D17" s="18">
        <v>45992</v>
      </c>
      <c r="E17" s="16">
        <v>8.2200000000000006</v>
      </c>
      <c r="F17" s="14">
        <v>500</v>
      </c>
      <c r="G17" s="16">
        <v>8.01</v>
      </c>
      <c r="H17" s="17">
        <v>500</v>
      </c>
      <c r="I17" s="18">
        <v>45993</v>
      </c>
      <c r="J17" s="33">
        <f t="shared" si="0"/>
        <v>1</v>
      </c>
      <c r="N17" s="33" t="str">
        <f t="shared" si="1"/>
        <v/>
      </c>
      <c r="P17" s="34">
        <f t="shared" si="2"/>
        <v>-105</v>
      </c>
      <c r="Q17" s="58">
        <f t="shared" si="3"/>
        <v>-2.5547445255474453E-2</v>
      </c>
      <c r="S17" s="35">
        <f t="shared" si="4"/>
        <v>-105.00000000000043</v>
      </c>
      <c r="T17" s="35">
        <f t="shared" si="5"/>
        <v>0</v>
      </c>
    </row>
    <row r="18" spans="1:20" x14ac:dyDescent="0.25">
      <c r="A18" s="14" t="s">
        <v>75</v>
      </c>
      <c r="B18" s="14" t="s">
        <v>58</v>
      </c>
      <c r="C18" s="14" t="s">
        <v>59</v>
      </c>
      <c r="D18" s="18">
        <v>45993</v>
      </c>
      <c r="E18" s="16">
        <v>1.92</v>
      </c>
      <c r="F18" s="14">
        <v>5000</v>
      </c>
      <c r="G18" s="16">
        <v>1.87</v>
      </c>
      <c r="H18" s="17">
        <v>5000</v>
      </c>
      <c r="I18" s="18">
        <v>45994</v>
      </c>
      <c r="J18" s="33">
        <f t="shared" si="0"/>
        <v>1</v>
      </c>
      <c r="N18" s="33" t="str">
        <f t="shared" si="1"/>
        <v/>
      </c>
      <c r="P18" s="34">
        <f t="shared" si="2"/>
        <v>-250</v>
      </c>
      <c r="Q18" s="58">
        <f t="shared" si="3"/>
        <v>-2.6041666666666668E-2</v>
      </c>
      <c r="S18" s="35">
        <f t="shared" si="4"/>
        <v>-249.99999999999912</v>
      </c>
      <c r="T18" s="35">
        <f t="shared" si="5"/>
        <v>0</v>
      </c>
    </row>
    <row r="19" spans="1:20" x14ac:dyDescent="0.25">
      <c r="A19" s="14" t="s">
        <v>76</v>
      </c>
      <c r="B19" s="14" t="s">
        <v>58</v>
      </c>
      <c r="C19" s="14" t="s">
        <v>59</v>
      </c>
      <c r="D19" s="18">
        <v>45993</v>
      </c>
      <c r="E19" s="16">
        <v>0.81499999999999995</v>
      </c>
      <c r="F19" s="14">
        <v>1000</v>
      </c>
      <c r="G19" s="16">
        <v>0.70989999999999998</v>
      </c>
      <c r="H19" s="17">
        <v>1000</v>
      </c>
      <c r="I19" s="18">
        <v>46000</v>
      </c>
      <c r="J19" s="33">
        <f t="shared" si="0"/>
        <v>7</v>
      </c>
      <c r="N19" s="33" t="str">
        <f t="shared" si="1"/>
        <v/>
      </c>
      <c r="P19" s="34">
        <f t="shared" si="2"/>
        <v>-105.10000000000002</v>
      </c>
      <c r="Q19" s="58">
        <f t="shared" si="3"/>
        <v>-0.12895705521472395</v>
      </c>
      <c r="S19" s="35">
        <f t="shared" si="4"/>
        <v>-105.09999999999997</v>
      </c>
      <c r="T19" s="35">
        <f t="shared" si="5"/>
        <v>0</v>
      </c>
    </row>
    <row r="20" spans="1:20" x14ac:dyDescent="0.25">
      <c r="A20" s="14" t="s">
        <v>77</v>
      </c>
      <c r="B20" s="14" t="s">
        <v>58</v>
      </c>
      <c r="C20" s="14" t="s">
        <v>59</v>
      </c>
      <c r="D20" s="18">
        <v>45993</v>
      </c>
      <c r="E20" s="16">
        <v>214.95</v>
      </c>
      <c r="F20" s="14">
        <v>10</v>
      </c>
      <c r="G20" s="16">
        <v>214.93</v>
      </c>
      <c r="H20" s="17">
        <v>10</v>
      </c>
      <c r="I20" s="18">
        <v>46004</v>
      </c>
      <c r="J20" s="33">
        <f t="shared" si="0"/>
        <v>11</v>
      </c>
      <c r="N20" s="33" t="str">
        <f t="shared" si="1"/>
        <v/>
      </c>
      <c r="P20" s="34">
        <f t="shared" si="2"/>
        <v>-0.1999999999998181</v>
      </c>
      <c r="Q20" s="58">
        <f t="shared" si="3"/>
        <v>-9.3044894161348261E-5</v>
      </c>
      <c r="S20" s="35">
        <f t="shared" si="4"/>
        <v>-0.1999999999998181</v>
      </c>
      <c r="T20" s="35">
        <f t="shared" si="5"/>
        <v>0</v>
      </c>
    </row>
    <row r="21" spans="1:20" x14ac:dyDescent="0.25">
      <c r="A21" s="14" t="s">
        <v>78</v>
      </c>
      <c r="B21" s="14" t="s">
        <v>58</v>
      </c>
      <c r="C21" s="14" t="s">
        <v>59</v>
      </c>
      <c r="D21" s="18">
        <v>45996</v>
      </c>
      <c r="E21" s="16">
        <v>43.8</v>
      </c>
      <c r="F21" s="14">
        <v>200</v>
      </c>
      <c r="G21" s="16">
        <v>43.79</v>
      </c>
      <c r="H21" s="17">
        <v>200</v>
      </c>
      <c r="I21" s="18">
        <v>45993</v>
      </c>
      <c r="J21" s="33">
        <f t="shared" si="0"/>
        <v>-3</v>
      </c>
      <c r="N21" s="33" t="str">
        <f t="shared" si="1"/>
        <v/>
      </c>
      <c r="P21" s="34">
        <f t="shared" si="2"/>
        <v>-2</v>
      </c>
      <c r="Q21" s="58">
        <f t="shared" si="3"/>
        <v>-2.2831050228310502E-4</v>
      </c>
      <c r="S21" s="35">
        <f t="shared" si="4"/>
        <v>-1.9999999999996021</v>
      </c>
      <c r="T21" s="35">
        <f t="shared" si="5"/>
        <v>0</v>
      </c>
    </row>
    <row r="22" spans="1:20" x14ac:dyDescent="0.25">
      <c r="A22" s="14" t="s">
        <v>79</v>
      </c>
      <c r="B22" s="14" t="s">
        <v>80</v>
      </c>
      <c r="C22" s="14" t="s">
        <v>59</v>
      </c>
      <c r="D22" s="18">
        <v>46010</v>
      </c>
      <c r="E22" s="16">
        <v>77.7</v>
      </c>
      <c r="F22" s="14">
        <v>4</v>
      </c>
      <c r="J22" s="33" t="str">
        <f t="shared" si="0"/>
        <v/>
      </c>
      <c r="N22" s="33" t="str">
        <f t="shared" si="1"/>
        <v/>
      </c>
      <c r="P22" s="34" t="str">
        <f t="shared" si="2"/>
        <v/>
      </c>
      <c r="Q22" s="58" t="str">
        <f t="shared" si="3"/>
        <v/>
      </c>
      <c r="S22" s="35">
        <f t="shared" si="4"/>
        <v>0</v>
      </c>
      <c r="T22" s="35">
        <f t="shared" si="5"/>
        <v>0</v>
      </c>
    </row>
    <row r="23" spans="1:20" x14ac:dyDescent="0.25">
      <c r="A23" s="14" t="s">
        <v>81</v>
      </c>
      <c r="B23" s="14" t="s">
        <v>80</v>
      </c>
      <c r="C23" s="14" t="s">
        <v>59</v>
      </c>
      <c r="D23" s="18">
        <v>46010</v>
      </c>
      <c r="E23" s="16">
        <v>8.3699999999999992</v>
      </c>
      <c r="F23" s="14">
        <v>11</v>
      </c>
      <c r="G23" s="16">
        <v>10.59</v>
      </c>
      <c r="H23" s="17">
        <v>11</v>
      </c>
      <c r="I23" s="18">
        <v>46014</v>
      </c>
      <c r="J23" s="33">
        <f t="shared" si="0"/>
        <v>4</v>
      </c>
      <c r="N23" s="33" t="str">
        <f t="shared" si="1"/>
        <v/>
      </c>
      <c r="P23" s="34">
        <f t="shared" si="2"/>
        <v>24.42</v>
      </c>
      <c r="Q23" s="58">
        <f t="shared" si="3"/>
        <v>0.26523297491039433</v>
      </c>
      <c r="S23" s="35">
        <f t="shared" si="4"/>
        <v>24.420000000000009</v>
      </c>
      <c r="T23" s="35">
        <f t="shared" si="5"/>
        <v>0</v>
      </c>
    </row>
    <row r="24" spans="1:20" x14ac:dyDescent="0.25">
      <c r="A24" s="14" t="s">
        <v>82</v>
      </c>
      <c r="B24" s="14" t="s">
        <v>80</v>
      </c>
      <c r="C24" s="14" t="s">
        <v>59</v>
      </c>
      <c r="D24" s="18">
        <v>46010</v>
      </c>
      <c r="E24" s="16">
        <v>90.94</v>
      </c>
      <c r="F24" s="14">
        <v>6</v>
      </c>
      <c r="J24" s="33" t="str">
        <f t="shared" si="0"/>
        <v/>
      </c>
      <c r="N24" s="33" t="str">
        <f t="shared" si="1"/>
        <v/>
      </c>
      <c r="P24" s="34" t="str">
        <f t="shared" si="2"/>
        <v/>
      </c>
      <c r="Q24" s="58" t="str">
        <f t="shared" si="3"/>
        <v/>
      </c>
      <c r="S24" s="35">
        <f t="shared" si="4"/>
        <v>0</v>
      </c>
      <c r="T24" s="35">
        <f t="shared" si="5"/>
        <v>0</v>
      </c>
    </row>
    <row r="25" spans="1:20" x14ac:dyDescent="0.25">
      <c r="A25" s="14" t="s">
        <v>83</v>
      </c>
      <c r="B25" s="14" t="s">
        <v>84</v>
      </c>
      <c r="C25" s="14" t="s">
        <v>59</v>
      </c>
      <c r="D25" s="18">
        <v>45995</v>
      </c>
      <c r="E25" s="16">
        <v>3.63</v>
      </c>
      <c r="F25" s="14">
        <v>16</v>
      </c>
      <c r="G25" s="16">
        <v>3.43</v>
      </c>
      <c r="H25" s="17">
        <v>16</v>
      </c>
      <c r="I25" s="18">
        <v>46007</v>
      </c>
      <c r="J25" s="33">
        <f t="shared" si="0"/>
        <v>12</v>
      </c>
      <c r="N25" s="33" t="str">
        <f t="shared" si="1"/>
        <v/>
      </c>
      <c r="P25" s="34">
        <f t="shared" si="2"/>
        <v>-3.1999999999999957</v>
      </c>
      <c r="Q25" s="58">
        <f t="shared" si="3"/>
        <v>-5.5096418732782294E-2</v>
      </c>
      <c r="S25" s="35">
        <f t="shared" si="4"/>
        <v>-3.1999999999999957</v>
      </c>
      <c r="T25" s="35">
        <f t="shared" si="5"/>
        <v>0</v>
      </c>
    </row>
    <row r="26" spans="1:20" x14ac:dyDescent="0.25">
      <c r="A26" s="14" t="s">
        <v>85</v>
      </c>
      <c r="B26" s="14" t="s">
        <v>86</v>
      </c>
      <c r="C26" s="14" t="s">
        <v>59</v>
      </c>
      <c r="D26" s="18">
        <v>45995</v>
      </c>
      <c r="E26" s="16">
        <v>14.88</v>
      </c>
      <c r="F26" s="14">
        <v>100</v>
      </c>
      <c r="G26" s="16">
        <v>15.37</v>
      </c>
      <c r="H26" s="17">
        <v>100</v>
      </c>
      <c r="I26" s="18">
        <v>46002</v>
      </c>
      <c r="J26" s="33">
        <f t="shared" si="0"/>
        <v>7</v>
      </c>
      <c r="N26" s="33" t="str">
        <f t="shared" si="1"/>
        <v/>
      </c>
      <c r="P26" s="34">
        <f t="shared" si="2"/>
        <v>49</v>
      </c>
      <c r="Q26" s="58">
        <f t="shared" si="3"/>
        <v>3.2930107526881719E-2</v>
      </c>
      <c r="S26" s="35">
        <f t="shared" si="4"/>
        <v>48.999999999999844</v>
      </c>
      <c r="T26" s="35">
        <f t="shared" si="5"/>
        <v>0</v>
      </c>
    </row>
    <row r="27" spans="1:20" x14ac:dyDescent="0.25">
      <c r="A27" s="14" t="s">
        <v>87</v>
      </c>
      <c r="B27" s="14" t="s">
        <v>58</v>
      </c>
      <c r="C27" s="14" t="s">
        <v>59</v>
      </c>
      <c r="D27" s="18">
        <v>45995</v>
      </c>
      <c r="E27" s="16">
        <v>43.8</v>
      </c>
      <c r="F27" s="14">
        <v>200</v>
      </c>
      <c r="G27" s="16">
        <v>43.79</v>
      </c>
      <c r="H27" s="17">
        <v>100</v>
      </c>
      <c r="I27" s="18">
        <v>45995</v>
      </c>
      <c r="J27" s="33">
        <f t="shared" si="0"/>
        <v>0</v>
      </c>
      <c r="N27" s="33" t="str">
        <f t="shared" si="1"/>
        <v/>
      </c>
      <c r="P27" s="34" t="str">
        <f t="shared" si="2"/>
        <v/>
      </c>
      <c r="Q27" s="58" t="str">
        <f t="shared" si="3"/>
        <v/>
      </c>
      <c r="S27" s="35">
        <f t="shared" si="4"/>
        <v>-0.99999999999980105</v>
      </c>
      <c r="T27" s="35">
        <f t="shared" si="5"/>
        <v>0</v>
      </c>
    </row>
    <row r="28" spans="1:20" x14ac:dyDescent="0.25">
      <c r="A28" s="14" t="s">
        <v>88</v>
      </c>
      <c r="B28" s="14" t="s">
        <v>58</v>
      </c>
      <c r="C28" s="14" t="s">
        <v>59</v>
      </c>
      <c r="D28" s="18">
        <v>45996</v>
      </c>
      <c r="E28" s="16">
        <v>4.24</v>
      </c>
      <c r="F28" s="14">
        <v>200</v>
      </c>
      <c r="G28" s="16">
        <v>3.98</v>
      </c>
      <c r="H28" s="17">
        <v>200</v>
      </c>
      <c r="I28" s="18">
        <v>46010</v>
      </c>
      <c r="J28" s="33">
        <f t="shared" si="0"/>
        <v>14</v>
      </c>
      <c r="N28" s="33" t="str">
        <f t="shared" si="1"/>
        <v/>
      </c>
      <c r="P28" s="34">
        <f t="shared" si="2"/>
        <v>-52</v>
      </c>
      <c r="Q28" s="58">
        <f t="shared" si="3"/>
        <v>-6.1320754716981132E-2</v>
      </c>
      <c r="S28" s="35">
        <f t="shared" si="4"/>
        <v>-52.000000000000043</v>
      </c>
      <c r="T28" s="35">
        <f t="shared" si="5"/>
        <v>0</v>
      </c>
    </row>
    <row r="29" spans="1:20" x14ac:dyDescent="0.25">
      <c r="A29" s="14" t="s">
        <v>89</v>
      </c>
      <c r="B29" s="14" t="s">
        <v>84</v>
      </c>
      <c r="C29" s="14" t="s">
        <v>59</v>
      </c>
      <c r="D29" s="18">
        <v>45996</v>
      </c>
      <c r="E29" s="16">
        <v>85.44</v>
      </c>
      <c r="F29" s="14">
        <v>20</v>
      </c>
      <c r="G29" s="16">
        <v>81.45</v>
      </c>
      <c r="H29" s="17">
        <v>20</v>
      </c>
      <c r="I29" s="18">
        <v>46020</v>
      </c>
      <c r="J29" s="33">
        <f t="shared" si="0"/>
        <v>24</v>
      </c>
      <c r="N29" s="33" t="str">
        <f t="shared" si="1"/>
        <v/>
      </c>
      <c r="P29" s="34">
        <f t="shared" si="2"/>
        <v>-79.799999999999955</v>
      </c>
      <c r="Q29" s="58">
        <f t="shared" si="3"/>
        <v>-4.6699438202247166E-2</v>
      </c>
      <c r="R29" s="72">
        <f>SUM('Trade Log'!$P$2:$P$96)</f>
        <v>2634.2300000000005</v>
      </c>
      <c r="S29" s="35">
        <f t="shared" si="4"/>
        <v>-79.799999999999898</v>
      </c>
      <c r="T29" s="35">
        <f t="shared" si="5"/>
        <v>0</v>
      </c>
    </row>
    <row r="30" spans="1:20" x14ac:dyDescent="0.25">
      <c r="A30" s="14" t="s">
        <v>90</v>
      </c>
      <c r="B30" s="14" t="s">
        <v>58</v>
      </c>
      <c r="C30" s="14" t="s">
        <v>59</v>
      </c>
      <c r="D30" s="18">
        <v>45996</v>
      </c>
      <c r="E30" s="16">
        <v>30.04</v>
      </c>
      <c r="F30" s="14">
        <v>100</v>
      </c>
      <c r="G30" s="16">
        <v>28.9</v>
      </c>
      <c r="H30" s="17">
        <v>100</v>
      </c>
      <c r="I30" s="18">
        <v>46006</v>
      </c>
      <c r="J30" s="33">
        <f t="shared" si="0"/>
        <v>10</v>
      </c>
      <c r="N30" s="33" t="str">
        <f t="shared" si="1"/>
        <v/>
      </c>
      <c r="P30" s="34">
        <f t="shared" si="2"/>
        <v>-114</v>
      </c>
      <c r="Q30" s="58">
        <f t="shared" si="3"/>
        <v>-3.7949400798934753E-2</v>
      </c>
      <c r="S30" s="35">
        <f t="shared" si="4"/>
        <v>-114.00000000000006</v>
      </c>
      <c r="T30" s="35">
        <f t="shared" si="5"/>
        <v>0</v>
      </c>
    </row>
    <row r="31" spans="1:20" x14ac:dyDescent="0.25">
      <c r="A31" s="14" t="s">
        <v>91</v>
      </c>
      <c r="B31" s="14" t="s">
        <v>92</v>
      </c>
      <c r="C31" s="14" t="s">
        <v>59</v>
      </c>
      <c r="D31" s="18">
        <v>45999</v>
      </c>
      <c r="E31" s="16">
        <v>283.67</v>
      </c>
      <c r="F31" s="14">
        <v>10</v>
      </c>
      <c r="G31" s="16">
        <v>298.63</v>
      </c>
      <c r="H31" s="17">
        <v>10</v>
      </c>
      <c r="I31" s="18">
        <v>46001</v>
      </c>
      <c r="J31" s="33">
        <f t="shared" si="0"/>
        <v>2</v>
      </c>
      <c r="N31" s="33" t="str">
        <f t="shared" si="1"/>
        <v/>
      </c>
      <c r="P31" s="34">
        <f t="shared" si="2"/>
        <v>149.59999999999991</v>
      </c>
      <c r="Q31" s="58">
        <f t="shared" si="3"/>
        <v>5.273733563647897E-2</v>
      </c>
      <c r="S31" s="35">
        <f t="shared" si="4"/>
        <v>149.5999999999998</v>
      </c>
      <c r="T31" s="35">
        <f t="shared" si="5"/>
        <v>0</v>
      </c>
    </row>
    <row r="32" spans="1:20" x14ac:dyDescent="0.25">
      <c r="A32" s="14" t="s">
        <v>93</v>
      </c>
      <c r="B32" s="14" t="s">
        <v>92</v>
      </c>
      <c r="C32" s="14" t="s">
        <v>59</v>
      </c>
      <c r="D32" s="18">
        <v>46000</v>
      </c>
      <c r="E32" s="16">
        <v>163.87</v>
      </c>
      <c r="F32" s="14">
        <v>10</v>
      </c>
      <c r="G32" s="16">
        <v>156.22</v>
      </c>
      <c r="H32" s="17">
        <v>10</v>
      </c>
      <c r="I32" s="18">
        <v>46007</v>
      </c>
      <c r="J32" s="33">
        <f t="shared" si="0"/>
        <v>7</v>
      </c>
      <c r="N32" s="33" t="str">
        <f t="shared" si="1"/>
        <v/>
      </c>
      <c r="P32" s="34">
        <f t="shared" si="2"/>
        <v>-76.5</v>
      </c>
      <c r="Q32" s="58">
        <f t="shared" si="3"/>
        <v>-4.6683346555196188E-2</v>
      </c>
      <c r="S32" s="35">
        <f t="shared" si="4"/>
        <v>-76.500000000000057</v>
      </c>
      <c r="T32" s="35">
        <f t="shared" si="5"/>
        <v>0</v>
      </c>
    </row>
    <row r="33" spans="1:20" x14ac:dyDescent="0.25">
      <c r="A33" s="14" t="s">
        <v>94</v>
      </c>
      <c r="B33" s="14" t="s">
        <v>80</v>
      </c>
      <c r="C33" s="14" t="s">
        <v>59</v>
      </c>
      <c r="D33" s="18">
        <v>46001</v>
      </c>
      <c r="E33" s="16">
        <v>7.27</v>
      </c>
      <c r="F33" s="14">
        <v>200</v>
      </c>
      <c r="G33" s="16">
        <v>6.57</v>
      </c>
      <c r="H33" s="17">
        <v>200</v>
      </c>
      <c r="I33" s="18">
        <v>46007</v>
      </c>
      <c r="J33" s="33">
        <f t="shared" si="0"/>
        <v>6</v>
      </c>
      <c r="N33" s="33" t="str">
        <f t="shared" si="1"/>
        <v/>
      </c>
      <c r="P33" s="34">
        <f t="shared" si="2"/>
        <v>-140</v>
      </c>
      <c r="Q33" s="58">
        <f t="shared" si="3"/>
        <v>-9.6286107290233833E-2</v>
      </c>
      <c r="S33" s="35">
        <f t="shared" si="4"/>
        <v>-139.99999999999986</v>
      </c>
      <c r="T33" s="35">
        <f t="shared" si="5"/>
        <v>0</v>
      </c>
    </row>
    <row r="34" spans="1:20" x14ac:dyDescent="0.25">
      <c r="A34" s="14" t="s">
        <v>95</v>
      </c>
      <c r="B34" s="14" t="s">
        <v>92</v>
      </c>
      <c r="C34" s="14" t="s">
        <v>59</v>
      </c>
      <c r="D34" s="18">
        <v>46002</v>
      </c>
      <c r="E34" s="16">
        <v>81.75</v>
      </c>
      <c r="F34" s="14">
        <v>100</v>
      </c>
      <c r="G34" s="16">
        <v>79.87</v>
      </c>
      <c r="H34" s="17">
        <v>100</v>
      </c>
      <c r="I34" s="18">
        <v>46014</v>
      </c>
      <c r="J34" s="33">
        <f t="shared" si="0"/>
        <v>12</v>
      </c>
      <c r="N34" s="33" t="str">
        <f t="shared" si="1"/>
        <v/>
      </c>
      <c r="P34" s="34">
        <f t="shared" si="2"/>
        <v>-188</v>
      </c>
      <c r="Q34" s="58">
        <f t="shared" si="3"/>
        <v>-2.2996941896024466E-2</v>
      </c>
      <c r="S34" s="35">
        <f t="shared" si="4"/>
        <v>-187.99999999999955</v>
      </c>
      <c r="T34" s="35">
        <f t="shared" si="5"/>
        <v>0</v>
      </c>
    </row>
    <row r="35" spans="1:20" x14ac:dyDescent="0.25">
      <c r="A35" s="14" t="s">
        <v>96</v>
      </c>
      <c r="B35" s="14" t="s">
        <v>92</v>
      </c>
      <c r="C35" s="14" t="s">
        <v>59</v>
      </c>
      <c r="D35" s="18">
        <v>46002</v>
      </c>
      <c r="E35" s="16">
        <v>29.78</v>
      </c>
      <c r="F35" s="14">
        <v>300</v>
      </c>
      <c r="G35" s="16">
        <v>29.15</v>
      </c>
      <c r="H35" s="17">
        <v>300</v>
      </c>
      <c r="I35" s="18">
        <v>46006</v>
      </c>
      <c r="J35" s="33">
        <f t="shared" si="0"/>
        <v>4</v>
      </c>
      <c r="N35" s="33" t="str">
        <f t="shared" si="1"/>
        <v/>
      </c>
      <c r="P35" s="34">
        <f t="shared" si="2"/>
        <v>-189</v>
      </c>
      <c r="Q35" s="58">
        <f t="shared" si="3"/>
        <v>-2.1155137676292814E-2</v>
      </c>
      <c r="S35" s="35">
        <f t="shared" si="4"/>
        <v>-189.00000000000077</v>
      </c>
      <c r="T35" s="35">
        <f t="shared" si="5"/>
        <v>0</v>
      </c>
    </row>
    <row r="36" spans="1:20" x14ac:dyDescent="0.25">
      <c r="A36" s="14" t="s">
        <v>97</v>
      </c>
      <c r="B36" s="14" t="s">
        <v>86</v>
      </c>
      <c r="C36" s="14" t="s">
        <v>59</v>
      </c>
      <c r="D36" s="18">
        <v>46003</v>
      </c>
      <c r="E36" s="16">
        <v>23.22</v>
      </c>
      <c r="F36" s="14">
        <v>50</v>
      </c>
      <c r="G36" s="16">
        <v>24.35</v>
      </c>
      <c r="H36" s="17">
        <v>50</v>
      </c>
      <c r="I36" s="18">
        <v>46037</v>
      </c>
      <c r="J36" s="33">
        <f t="shared" si="0"/>
        <v>34</v>
      </c>
      <c r="N36" s="33" t="str">
        <f t="shared" si="1"/>
        <v/>
      </c>
      <c r="P36" s="34">
        <f t="shared" si="2"/>
        <v>56.5</v>
      </c>
      <c r="Q36" s="58">
        <f t="shared" si="3"/>
        <v>4.8664944013781221E-2</v>
      </c>
      <c r="S36" s="35">
        <f t="shared" si="4"/>
        <v>56.500000000000128</v>
      </c>
      <c r="T36" s="35">
        <f t="shared" si="5"/>
        <v>0</v>
      </c>
    </row>
    <row r="37" spans="1:20" x14ac:dyDescent="0.25">
      <c r="A37" s="14" t="s">
        <v>98</v>
      </c>
      <c r="B37" s="14" t="s">
        <v>86</v>
      </c>
      <c r="C37" s="14" t="s">
        <v>59</v>
      </c>
      <c r="D37" s="18">
        <v>46010</v>
      </c>
      <c r="E37" s="16">
        <v>1.32</v>
      </c>
      <c r="F37" s="14">
        <v>5</v>
      </c>
      <c r="J37" s="33" t="str">
        <f t="shared" si="0"/>
        <v/>
      </c>
      <c r="N37" s="33" t="str">
        <f t="shared" si="1"/>
        <v/>
      </c>
      <c r="P37" s="34" t="str">
        <f t="shared" si="2"/>
        <v/>
      </c>
      <c r="Q37" s="58" t="str">
        <f t="shared" si="3"/>
        <v/>
      </c>
      <c r="S37" s="35">
        <f t="shared" si="4"/>
        <v>0</v>
      </c>
      <c r="T37" s="35">
        <f t="shared" si="5"/>
        <v>0</v>
      </c>
    </row>
    <row r="38" spans="1:20" x14ac:dyDescent="0.25">
      <c r="A38" s="14" t="s">
        <v>99</v>
      </c>
      <c r="B38" s="14" t="s">
        <v>80</v>
      </c>
      <c r="C38" s="14" t="s">
        <v>59</v>
      </c>
      <c r="D38" s="18">
        <v>46013</v>
      </c>
      <c r="E38" s="16">
        <v>16.62</v>
      </c>
      <c r="F38" s="14">
        <v>78</v>
      </c>
      <c r="G38" s="16">
        <v>18.43</v>
      </c>
      <c r="H38" s="17">
        <v>78</v>
      </c>
      <c r="I38" s="18">
        <v>46030</v>
      </c>
      <c r="J38" s="33">
        <f t="shared" si="0"/>
        <v>17</v>
      </c>
      <c r="N38" s="33" t="str">
        <f t="shared" si="1"/>
        <v/>
      </c>
      <c r="P38" s="34">
        <f t="shared" si="2"/>
        <v>141.17999999999984</v>
      </c>
      <c r="Q38" s="58">
        <f t="shared" si="3"/>
        <v>0.10890493381468097</v>
      </c>
      <c r="S38" s="35">
        <f t="shared" si="4"/>
        <v>141.17999999999989</v>
      </c>
      <c r="T38" s="35">
        <f t="shared" si="5"/>
        <v>0</v>
      </c>
    </row>
    <row r="39" spans="1:20" x14ac:dyDescent="0.25">
      <c r="A39" s="14" t="s">
        <v>79</v>
      </c>
      <c r="B39" s="14" t="s">
        <v>80</v>
      </c>
      <c r="C39" s="14" t="s">
        <v>59</v>
      </c>
      <c r="D39" s="18">
        <v>46013</v>
      </c>
      <c r="E39" s="16">
        <v>78.5</v>
      </c>
      <c r="F39" s="14">
        <v>19</v>
      </c>
      <c r="J39" s="33" t="str">
        <f t="shared" si="0"/>
        <v/>
      </c>
      <c r="N39" s="33" t="str">
        <f t="shared" si="1"/>
        <v/>
      </c>
      <c r="P39" s="34" t="str">
        <f t="shared" si="2"/>
        <v/>
      </c>
      <c r="Q39" s="58" t="str">
        <f t="shared" si="3"/>
        <v/>
      </c>
      <c r="S39" s="35">
        <f t="shared" si="4"/>
        <v>0</v>
      </c>
      <c r="T39" s="35">
        <f t="shared" si="5"/>
        <v>0</v>
      </c>
    </row>
    <row r="40" spans="1:20" x14ac:dyDescent="0.25">
      <c r="A40" s="14" t="s">
        <v>100</v>
      </c>
      <c r="B40" s="14" t="s">
        <v>80</v>
      </c>
      <c r="C40" s="14" t="s">
        <v>59</v>
      </c>
      <c r="D40" s="18">
        <v>46013</v>
      </c>
      <c r="E40" s="16">
        <v>9.16</v>
      </c>
      <c r="F40" s="14">
        <v>93</v>
      </c>
      <c r="G40" s="16">
        <v>8.07</v>
      </c>
      <c r="H40" s="17">
        <v>93</v>
      </c>
      <c r="I40" s="18">
        <v>46021</v>
      </c>
      <c r="J40" s="33">
        <f t="shared" si="0"/>
        <v>8</v>
      </c>
      <c r="N40" s="33" t="str">
        <f t="shared" si="1"/>
        <v/>
      </c>
      <c r="P40" s="34">
        <f t="shared" si="2"/>
        <v>-101.37</v>
      </c>
      <c r="Q40" s="58">
        <f t="shared" si="3"/>
        <v>-0.11899563318777293</v>
      </c>
      <c r="S40" s="35">
        <f t="shared" si="4"/>
        <v>-101.36999999999999</v>
      </c>
      <c r="T40" s="35">
        <f t="shared" si="5"/>
        <v>0</v>
      </c>
    </row>
    <row r="41" spans="1:20" x14ac:dyDescent="0.25">
      <c r="A41" s="14" t="s">
        <v>101</v>
      </c>
      <c r="B41" s="14" t="s">
        <v>80</v>
      </c>
      <c r="C41" s="14" t="s">
        <v>59</v>
      </c>
      <c r="D41" s="18">
        <v>46013</v>
      </c>
      <c r="J41" s="33" t="str">
        <f t="shared" si="0"/>
        <v/>
      </c>
      <c r="N41" s="33" t="str">
        <f t="shared" si="1"/>
        <v/>
      </c>
      <c r="P41" s="34" t="str">
        <f t="shared" si="2"/>
        <v/>
      </c>
      <c r="Q41" s="58" t="str">
        <f t="shared" si="3"/>
        <v/>
      </c>
      <c r="S41" s="35">
        <f t="shared" si="4"/>
        <v>0</v>
      </c>
      <c r="T41" s="35">
        <f t="shared" si="5"/>
        <v>0</v>
      </c>
    </row>
    <row r="42" spans="1:20" x14ac:dyDescent="0.25">
      <c r="A42" s="14" t="s">
        <v>102</v>
      </c>
      <c r="B42" s="14" t="s">
        <v>80</v>
      </c>
      <c r="C42" s="14" t="s">
        <v>59</v>
      </c>
      <c r="D42" s="18">
        <v>46013</v>
      </c>
      <c r="J42" s="33" t="str">
        <f t="shared" si="0"/>
        <v/>
      </c>
      <c r="N42" s="33" t="str">
        <f t="shared" si="1"/>
        <v/>
      </c>
      <c r="P42" s="34" t="str">
        <f t="shared" si="2"/>
        <v/>
      </c>
      <c r="Q42" s="58" t="str">
        <f t="shared" si="3"/>
        <v/>
      </c>
      <c r="S42" s="35">
        <f t="shared" si="4"/>
        <v>0</v>
      </c>
      <c r="T42" s="35">
        <f t="shared" si="5"/>
        <v>0</v>
      </c>
    </row>
    <row r="43" spans="1:20" x14ac:dyDescent="0.25">
      <c r="A43" s="14" t="s">
        <v>103</v>
      </c>
      <c r="B43" s="14" t="s">
        <v>80</v>
      </c>
      <c r="C43" s="14" t="s">
        <v>59</v>
      </c>
      <c r="D43" s="18">
        <v>46012</v>
      </c>
      <c r="E43" s="16">
        <v>555.9</v>
      </c>
      <c r="F43" s="14">
        <v>10</v>
      </c>
      <c r="G43" s="16">
        <v>586.70000000000005</v>
      </c>
      <c r="H43" s="17">
        <v>10</v>
      </c>
      <c r="I43" s="18">
        <v>46027</v>
      </c>
      <c r="J43" s="33">
        <f t="shared" si="0"/>
        <v>15</v>
      </c>
      <c r="N43" s="33" t="str">
        <f t="shared" si="1"/>
        <v/>
      </c>
      <c r="P43" s="34">
        <f t="shared" si="2"/>
        <v>308</v>
      </c>
      <c r="Q43" s="58">
        <f t="shared" si="3"/>
        <v>5.5405648497931281E-2</v>
      </c>
      <c r="S43" s="35">
        <f t="shared" si="4"/>
        <v>308.00000000000068</v>
      </c>
      <c r="T43" s="35">
        <f t="shared" si="5"/>
        <v>0</v>
      </c>
    </row>
    <row r="44" spans="1:20" x14ac:dyDescent="0.25">
      <c r="D44" s="18"/>
      <c r="J44" s="33"/>
      <c r="N44" s="33"/>
      <c r="P44" s="34"/>
      <c r="Q44" s="58"/>
      <c r="S44" s="35"/>
      <c r="T44" s="35"/>
    </row>
    <row r="45" spans="1:20" x14ac:dyDescent="0.25">
      <c r="D45" s="18"/>
      <c r="J45" s="33" t="str">
        <f t="shared" ref="J45:J76" si="6">IF(I45="","",I45-D45)</f>
        <v/>
      </c>
      <c r="N45" s="33" t="str">
        <f t="shared" ref="N45:N76" si="7">IF(M45="","",M45-I45)</f>
        <v/>
      </c>
      <c r="P45" s="34" t="str">
        <f t="shared" ref="P45:P76" si="8">IF(OR($F45=0, SUM($H45, $L45)&lt;$F45), "", IF($C45="Long", (IFERROR($G45*$H45,0) + IFERROR($K45*$L45,0)) - ($E45*$F45), ($E45*$F45) - (IFERROR($G45*$H45,0) + IFERROR($K45*$L45,0))) - IFERROR($O45,0))</f>
        <v/>
      </c>
      <c r="Q45" s="58" t="str">
        <f t="shared" ref="Q45:Q76" si="9">IF(P45="", "", P45 / ($E45 * $F45))</f>
        <v/>
      </c>
      <c r="S45" s="35">
        <f t="shared" ref="S45:S76" si="10">IF(C45="Long",((G45-E45)*H45),((E45-G45)*H45))</f>
        <v>0</v>
      </c>
      <c r="T45" s="35">
        <f t="shared" ref="T45:T76" si="11">IF(C45="Long",((K45-E45)*L45),((E45-K45)*L45))</f>
        <v>0</v>
      </c>
    </row>
    <row r="46" spans="1:20" x14ac:dyDescent="0.25">
      <c r="D46" s="18"/>
      <c r="J46" s="33" t="str">
        <f t="shared" si="6"/>
        <v/>
      </c>
      <c r="N46" s="33" t="str">
        <f t="shared" si="7"/>
        <v/>
      </c>
      <c r="P46" s="34" t="str">
        <f t="shared" si="8"/>
        <v/>
      </c>
      <c r="Q46" s="58" t="str">
        <f t="shared" si="9"/>
        <v/>
      </c>
      <c r="S46" s="35">
        <f t="shared" si="10"/>
        <v>0</v>
      </c>
      <c r="T46" s="35">
        <f t="shared" si="11"/>
        <v>0</v>
      </c>
    </row>
    <row r="47" spans="1:20" x14ac:dyDescent="0.25">
      <c r="D47" s="18"/>
      <c r="J47" s="33" t="str">
        <f t="shared" si="6"/>
        <v/>
      </c>
      <c r="N47" s="33" t="str">
        <f t="shared" si="7"/>
        <v/>
      </c>
      <c r="P47" s="34" t="str">
        <f t="shared" si="8"/>
        <v/>
      </c>
      <c r="Q47" s="58" t="str">
        <f t="shared" si="9"/>
        <v/>
      </c>
      <c r="S47" s="35">
        <f t="shared" si="10"/>
        <v>0</v>
      </c>
      <c r="T47" s="35">
        <f t="shared" si="11"/>
        <v>0</v>
      </c>
    </row>
    <row r="48" spans="1:20" x14ac:dyDescent="0.25">
      <c r="D48" s="18"/>
      <c r="J48" s="33" t="str">
        <f t="shared" si="6"/>
        <v/>
      </c>
      <c r="N48" s="33" t="str">
        <f t="shared" si="7"/>
        <v/>
      </c>
      <c r="P48" s="34" t="str">
        <f t="shared" si="8"/>
        <v/>
      </c>
      <c r="Q48" s="58" t="str">
        <f t="shared" si="9"/>
        <v/>
      </c>
      <c r="S48" s="35">
        <f t="shared" si="10"/>
        <v>0</v>
      </c>
      <c r="T48" s="35">
        <f t="shared" si="11"/>
        <v>0</v>
      </c>
    </row>
    <row r="49" spans="4:20" x14ac:dyDescent="0.25">
      <c r="D49" s="18"/>
      <c r="J49" s="33" t="str">
        <f t="shared" si="6"/>
        <v/>
      </c>
      <c r="N49" s="33" t="str">
        <f t="shared" si="7"/>
        <v/>
      </c>
      <c r="P49" s="34" t="str">
        <f t="shared" si="8"/>
        <v/>
      </c>
      <c r="Q49" s="58" t="str">
        <f t="shared" si="9"/>
        <v/>
      </c>
      <c r="S49" s="35">
        <f t="shared" si="10"/>
        <v>0</v>
      </c>
      <c r="T49" s="35">
        <f t="shared" si="11"/>
        <v>0</v>
      </c>
    </row>
    <row r="50" spans="4:20" x14ac:dyDescent="0.25">
      <c r="D50" s="18"/>
      <c r="J50" s="33" t="str">
        <f t="shared" si="6"/>
        <v/>
      </c>
      <c r="N50" s="33" t="str">
        <f t="shared" si="7"/>
        <v/>
      </c>
      <c r="P50" s="34" t="str">
        <f t="shared" si="8"/>
        <v/>
      </c>
      <c r="Q50" s="58" t="str">
        <f t="shared" si="9"/>
        <v/>
      </c>
      <c r="S50" s="35">
        <f t="shared" si="10"/>
        <v>0</v>
      </c>
      <c r="T50" s="35">
        <f t="shared" si="11"/>
        <v>0</v>
      </c>
    </row>
    <row r="51" spans="4:20" x14ac:dyDescent="0.25">
      <c r="D51" s="18"/>
      <c r="J51" s="33" t="str">
        <f t="shared" si="6"/>
        <v/>
      </c>
      <c r="N51" s="33" t="str">
        <f t="shared" si="7"/>
        <v/>
      </c>
      <c r="P51" s="34" t="str">
        <f t="shared" si="8"/>
        <v/>
      </c>
      <c r="Q51" s="58" t="str">
        <f t="shared" si="9"/>
        <v/>
      </c>
      <c r="S51" s="35">
        <f t="shared" si="10"/>
        <v>0</v>
      </c>
      <c r="T51" s="35">
        <f t="shared" si="11"/>
        <v>0</v>
      </c>
    </row>
    <row r="52" spans="4:20" x14ac:dyDescent="0.25">
      <c r="D52" s="18"/>
      <c r="J52" s="33" t="str">
        <f t="shared" si="6"/>
        <v/>
      </c>
      <c r="N52" s="33" t="str">
        <f t="shared" si="7"/>
        <v/>
      </c>
      <c r="P52" s="34" t="str">
        <f t="shared" si="8"/>
        <v/>
      </c>
      <c r="Q52" s="58" t="str">
        <f t="shared" si="9"/>
        <v/>
      </c>
      <c r="S52" s="35">
        <f t="shared" si="10"/>
        <v>0</v>
      </c>
      <c r="T52" s="35">
        <f t="shared" si="11"/>
        <v>0</v>
      </c>
    </row>
    <row r="53" spans="4:20" x14ac:dyDescent="0.25">
      <c r="D53" s="18"/>
      <c r="J53" s="33" t="str">
        <f t="shared" si="6"/>
        <v/>
      </c>
      <c r="N53" s="33" t="str">
        <f t="shared" si="7"/>
        <v/>
      </c>
      <c r="P53" s="34" t="str">
        <f t="shared" si="8"/>
        <v/>
      </c>
      <c r="Q53" s="58" t="str">
        <f t="shared" si="9"/>
        <v/>
      </c>
      <c r="S53" s="35">
        <f t="shared" si="10"/>
        <v>0</v>
      </c>
      <c r="T53" s="35">
        <f t="shared" si="11"/>
        <v>0</v>
      </c>
    </row>
    <row r="54" spans="4:20" x14ac:dyDescent="0.25">
      <c r="D54" s="18"/>
      <c r="J54" s="33" t="str">
        <f t="shared" si="6"/>
        <v/>
      </c>
      <c r="N54" s="33" t="str">
        <f t="shared" si="7"/>
        <v/>
      </c>
      <c r="P54" s="34" t="str">
        <f t="shared" si="8"/>
        <v/>
      </c>
      <c r="Q54" s="58" t="str">
        <f t="shared" si="9"/>
        <v/>
      </c>
      <c r="S54" s="35">
        <f t="shared" si="10"/>
        <v>0</v>
      </c>
      <c r="T54" s="35">
        <f t="shared" si="11"/>
        <v>0</v>
      </c>
    </row>
    <row r="55" spans="4:20" x14ac:dyDescent="0.25">
      <c r="D55" s="18"/>
      <c r="J55" s="33" t="str">
        <f t="shared" si="6"/>
        <v/>
      </c>
      <c r="N55" s="33" t="str">
        <f t="shared" si="7"/>
        <v/>
      </c>
      <c r="P55" s="34" t="str">
        <f t="shared" si="8"/>
        <v/>
      </c>
      <c r="Q55" s="58" t="str">
        <f t="shared" si="9"/>
        <v/>
      </c>
      <c r="S55" s="35">
        <f t="shared" si="10"/>
        <v>0</v>
      </c>
      <c r="T55" s="35">
        <f t="shared" si="11"/>
        <v>0</v>
      </c>
    </row>
    <row r="56" spans="4:20" x14ac:dyDescent="0.25">
      <c r="D56" s="18"/>
      <c r="J56" s="33" t="str">
        <f t="shared" si="6"/>
        <v/>
      </c>
      <c r="N56" s="33" t="str">
        <f t="shared" si="7"/>
        <v/>
      </c>
      <c r="P56" s="34" t="str">
        <f t="shared" si="8"/>
        <v/>
      </c>
      <c r="Q56" s="58" t="str">
        <f t="shared" si="9"/>
        <v/>
      </c>
      <c r="S56" s="35">
        <f t="shared" si="10"/>
        <v>0</v>
      </c>
      <c r="T56" s="35">
        <f t="shared" si="11"/>
        <v>0</v>
      </c>
    </row>
    <row r="57" spans="4:20" x14ac:dyDescent="0.25">
      <c r="D57" s="18"/>
      <c r="J57" s="33" t="str">
        <f t="shared" si="6"/>
        <v/>
      </c>
      <c r="N57" s="33" t="str">
        <f t="shared" si="7"/>
        <v/>
      </c>
      <c r="P57" s="34" t="str">
        <f t="shared" si="8"/>
        <v/>
      </c>
      <c r="Q57" s="58" t="str">
        <f t="shared" si="9"/>
        <v/>
      </c>
      <c r="S57" s="35">
        <f t="shared" si="10"/>
        <v>0</v>
      </c>
      <c r="T57" s="35">
        <f t="shared" si="11"/>
        <v>0</v>
      </c>
    </row>
    <row r="58" spans="4:20" x14ac:dyDescent="0.25">
      <c r="D58" s="18"/>
      <c r="J58" s="33" t="str">
        <f t="shared" si="6"/>
        <v/>
      </c>
      <c r="N58" s="33" t="str">
        <f t="shared" si="7"/>
        <v/>
      </c>
      <c r="P58" s="34" t="str">
        <f t="shared" si="8"/>
        <v/>
      </c>
      <c r="Q58" s="58" t="str">
        <f t="shared" si="9"/>
        <v/>
      </c>
      <c r="S58" s="35">
        <f t="shared" si="10"/>
        <v>0</v>
      </c>
      <c r="T58" s="35">
        <f t="shared" si="11"/>
        <v>0</v>
      </c>
    </row>
    <row r="59" spans="4:20" x14ac:dyDescent="0.25">
      <c r="D59" s="18"/>
      <c r="J59" s="33" t="str">
        <f t="shared" si="6"/>
        <v/>
      </c>
      <c r="N59" s="33" t="str">
        <f t="shared" si="7"/>
        <v/>
      </c>
      <c r="P59" s="34" t="str">
        <f t="shared" si="8"/>
        <v/>
      </c>
      <c r="Q59" s="58" t="str">
        <f t="shared" si="9"/>
        <v/>
      </c>
      <c r="S59" s="35">
        <f t="shared" si="10"/>
        <v>0</v>
      </c>
      <c r="T59" s="35">
        <f t="shared" si="11"/>
        <v>0</v>
      </c>
    </row>
    <row r="60" spans="4:20" x14ac:dyDescent="0.25">
      <c r="D60" s="18"/>
      <c r="J60" s="33" t="str">
        <f t="shared" si="6"/>
        <v/>
      </c>
      <c r="N60" s="33" t="str">
        <f t="shared" si="7"/>
        <v/>
      </c>
      <c r="P60" s="34" t="str">
        <f t="shared" si="8"/>
        <v/>
      </c>
      <c r="Q60" s="58" t="str">
        <f t="shared" si="9"/>
        <v/>
      </c>
      <c r="S60" s="35">
        <f t="shared" si="10"/>
        <v>0</v>
      </c>
      <c r="T60" s="35">
        <f t="shared" si="11"/>
        <v>0</v>
      </c>
    </row>
    <row r="61" spans="4:20" x14ac:dyDescent="0.25">
      <c r="D61" s="18"/>
      <c r="J61" s="33" t="str">
        <f t="shared" si="6"/>
        <v/>
      </c>
      <c r="N61" s="33" t="str">
        <f t="shared" si="7"/>
        <v/>
      </c>
      <c r="P61" s="34" t="str">
        <f t="shared" si="8"/>
        <v/>
      </c>
      <c r="Q61" s="58" t="str">
        <f t="shared" si="9"/>
        <v/>
      </c>
      <c r="S61" s="35">
        <f t="shared" si="10"/>
        <v>0</v>
      </c>
      <c r="T61" s="35">
        <f t="shared" si="11"/>
        <v>0</v>
      </c>
    </row>
    <row r="62" spans="4:20" x14ac:dyDescent="0.25">
      <c r="D62" s="18"/>
      <c r="J62" s="33" t="str">
        <f t="shared" si="6"/>
        <v/>
      </c>
      <c r="N62" s="33" t="str">
        <f t="shared" si="7"/>
        <v/>
      </c>
      <c r="P62" s="34" t="str">
        <f t="shared" si="8"/>
        <v/>
      </c>
      <c r="Q62" s="58" t="str">
        <f t="shared" si="9"/>
        <v/>
      </c>
      <c r="S62" s="35">
        <f t="shared" si="10"/>
        <v>0</v>
      </c>
      <c r="T62" s="35">
        <f t="shared" si="11"/>
        <v>0</v>
      </c>
    </row>
    <row r="63" spans="4:20" x14ac:dyDescent="0.25">
      <c r="D63" s="18"/>
      <c r="J63" s="33" t="str">
        <f t="shared" si="6"/>
        <v/>
      </c>
      <c r="N63" s="33" t="str">
        <f t="shared" si="7"/>
        <v/>
      </c>
      <c r="P63" s="34" t="str">
        <f t="shared" si="8"/>
        <v/>
      </c>
      <c r="Q63" s="58" t="str">
        <f t="shared" si="9"/>
        <v/>
      </c>
      <c r="S63" s="35">
        <f t="shared" si="10"/>
        <v>0</v>
      </c>
      <c r="T63" s="35">
        <f t="shared" si="11"/>
        <v>0</v>
      </c>
    </row>
    <row r="64" spans="4:20" x14ac:dyDescent="0.25">
      <c r="D64" s="18"/>
      <c r="J64" s="33" t="str">
        <f t="shared" si="6"/>
        <v/>
      </c>
      <c r="N64" s="33" t="str">
        <f t="shared" si="7"/>
        <v/>
      </c>
      <c r="P64" s="34" t="str">
        <f t="shared" si="8"/>
        <v/>
      </c>
      <c r="Q64" s="58" t="str">
        <f t="shared" si="9"/>
        <v/>
      </c>
      <c r="S64" s="35">
        <f t="shared" si="10"/>
        <v>0</v>
      </c>
      <c r="T64" s="35">
        <f t="shared" si="11"/>
        <v>0</v>
      </c>
    </row>
    <row r="65" spans="4:20" x14ac:dyDescent="0.25">
      <c r="D65" s="18"/>
      <c r="J65" s="33" t="str">
        <f t="shared" si="6"/>
        <v/>
      </c>
      <c r="N65" s="33" t="str">
        <f t="shared" si="7"/>
        <v/>
      </c>
      <c r="P65" s="34" t="str">
        <f t="shared" si="8"/>
        <v/>
      </c>
      <c r="Q65" s="58" t="str">
        <f t="shared" si="9"/>
        <v/>
      </c>
      <c r="S65" s="35">
        <f t="shared" si="10"/>
        <v>0</v>
      </c>
      <c r="T65" s="35">
        <f t="shared" si="11"/>
        <v>0</v>
      </c>
    </row>
    <row r="66" spans="4:20" x14ac:dyDescent="0.25">
      <c r="D66" s="18"/>
      <c r="J66" s="33" t="str">
        <f t="shared" si="6"/>
        <v/>
      </c>
      <c r="N66" s="33" t="str">
        <f t="shared" si="7"/>
        <v/>
      </c>
      <c r="P66" s="34" t="str">
        <f t="shared" si="8"/>
        <v/>
      </c>
      <c r="Q66" s="58" t="str">
        <f t="shared" si="9"/>
        <v/>
      </c>
      <c r="S66" s="35">
        <f t="shared" si="10"/>
        <v>0</v>
      </c>
      <c r="T66" s="35">
        <f t="shared" si="11"/>
        <v>0</v>
      </c>
    </row>
    <row r="67" spans="4:20" x14ac:dyDescent="0.25">
      <c r="D67" s="18"/>
      <c r="J67" s="33" t="str">
        <f t="shared" si="6"/>
        <v/>
      </c>
      <c r="N67" s="33" t="str">
        <f t="shared" si="7"/>
        <v/>
      </c>
      <c r="P67" s="34" t="str">
        <f t="shared" si="8"/>
        <v/>
      </c>
      <c r="Q67" s="58" t="str">
        <f t="shared" si="9"/>
        <v/>
      </c>
      <c r="S67" s="35">
        <f t="shared" si="10"/>
        <v>0</v>
      </c>
      <c r="T67" s="35">
        <f t="shared" si="11"/>
        <v>0</v>
      </c>
    </row>
    <row r="68" spans="4:20" x14ac:dyDescent="0.25">
      <c r="D68" s="18"/>
      <c r="J68" s="33" t="str">
        <f t="shared" si="6"/>
        <v/>
      </c>
      <c r="N68" s="33" t="str">
        <f t="shared" si="7"/>
        <v/>
      </c>
      <c r="P68" s="34" t="str">
        <f t="shared" si="8"/>
        <v/>
      </c>
      <c r="Q68" s="58" t="str">
        <f t="shared" si="9"/>
        <v/>
      </c>
      <c r="S68" s="35">
        <f t="shared" si="10"/>
        <v>0</v>
      </c>
      <c r="T68" s="35">
        <f t="shared" si="11"/>
        <v>0</v>
      </c>
    </row>
    <row r="69" spans="4:20" x14ac:dyDescent="0.25">
      <c r="D69" s="18"/>
      <c r="J69" s="33" t="str">
        <f t="shared" si="6"/>
        <v/>
      </c>
      <c r="N69" s="33" t="str">
        <f t="shared" si="7"/>
        <v/>
      </c>
      <c r="P69" s="34" t="str">
        <f t="shared" si="8"/>
        <v/>
      </c>
      <c r="Q69" s="58" t="str">
        <f t="shared" si="9"/>
        <v/>
      </c>
      <c r="S69" s="35">
        <f t="shared" si="10"/>
        <v>0</v>
      </c>
      <c r="T69" s="35">
        <f t="shared" si="11"/>
        <v>0</v>
      </c>
    </row>
    <row r="70" spans="4:20" x14ac:dyDescent="0.25">
      <c r="D70" s="18"/>
      <c r="J70" s="33" t="str">
        <f t="shared" si="6"/>
        <v/>
      </c>
      <c r="N70" s="33" t="str">
        <f t="shared" si="7"/>
        <v/>
      </c>
      <c r="P70" s="34" t="str">
        <f t="shared" si="8"/>
        <v/>
      </c>
      <c r="Q70" s="58" t="str">
        <f t="shared" si="9"/>
        <v/>
      </c>
      <c r="S70" s="35">
        <f t="shared" si="10"/>
        <v>0</v>
      </c>
      <c r="T70" s="35">
        <f t="shared" si="11"/>
        <v>0</v>
      </c>
    </row>
    <row r="71" spans="4:20" x14ac:dyDescent="0.25">
      <c r="D71" s="18"/>
      <c r="J71" s="33" t="str">
        <f t="shared" si="6"/>
        <v/>
      </c>
      <c r="N71" s="33" t="str">
        <f t="shared" si="7"/>
        <v/>
      </c>
      <c r="P71" s="34" t="str">
        <f t="shared" si="8"/>
        <v/>
      </c>
      <c r="Q71" s="58" t="str">
        <f t="shared" si="9"/>
        <v/>
      </c>
      <c r="S71" s="35">
        <f t="shared" si="10"/>
        <v>0</v>
      </c>
      <c r="T71" s="35">
        <f t="shared" si="11"/>
        <v>0</v>
      </c>
    </row>
    <row r="72" spans="4:20" x14ac:dyDescent="0.25">
      <c r="D72" s="18"/>
      <c r="J72" s="33" t="str">
        <f t="shared" si="6"/>
        <v/>
      </c>
      <c r="N72" s="33" t="str">
        <f t="shared" si="7"/>
        <v/>
      </c>
      <c r="P72" s="34" t="str">
        <f t="shared" si="8"/>
        <v/>
      </c>
      <c r="Q72" s="58" t="str">
        <f t="shared" si="9"/>
        <v/>
      </c>
      <c r="S72" s="35">
        <f t="shared" si="10"/>
        <v>0</v>
      </c>
      <c r="T72" s="35">
        <f t="shared" si="11"/>
        <v>0</v>
      </c>
    </row>
    <row r="73" spans="4:20" x14ac:dyDescent="0.25">
      <c r="D73" s="18"/>
      <c r="J73" s="33" t="str">
        <f t="shared" si="6"/>
        <v/>
      </c>
      <c r="N73" s="33" t="str">
        <f t="shared" si="7"/>
        <v/>
      </c>
      <c r="P73" s="34" t="str">
        <f t="shared" si="8"/>
        <v/>
      </c>
      <c r="Q73" s="58" t="str">
        <f t="shared" si="9"/>
        <v/>
      </c>
      <c r="S73" s="35">
        <f t="shared" si="10"/>
        <v>0</v>
      </c>
      <c r="T73" s="35">
        <f t="shared" si="11"/>
        <v>0</v>
      </c>
    </row>
    <row r="74" spans="4:20" x14ac:dyDescent="0.25">
      <c r="D74" s="18"/>
      <c r="J74" s="33" t="str">
        <f t="shared" si="6"/>
        <v/>
      </c>
      <c r="N74" s="33" t="str">
        <f t="shared" si="7"/>
        <v/>
      </c>
      <c r="P74" s="34" t="str">
        <f t="shared" si="8"/>
        <v/>
      </c>
      <c r="Q74" s="58" t="str">
        <f t="shared" si="9"/>
        <v/>
      </c>
      <c r="S74" s="35">
        <f t="shared" si="10"/>
        <v>0</v>
      </c>
      <c r="T74" s="35">
        <f t="shared" si="11"/>
        <v>0</v>
      </c>
    </row>
    <row r="75" spans="4:20" x14ac:dyDescent="0.25">
      <c r="D75" s="18"/>
      <c r="J75" s="33" t="str">
        <f t="shared" si="6"/>
        <v/>
      </c>
      <c r="N75" s="33" t="str">
        <f t="shared" si="7"/>
        <v/>
      </c>
      <c r="P75" s="34" t="str">
        <f t="shared" si="8"/>
        <v/>
      </c>
      <c r="Q75" s="58" t="str">
        <f t="shared" si="9"/>
        <v/>
      </c>
      <c r="S75" s="35">
        <f t="shared" si="10"/>
        <v>0</v>
      </c>
      <c r="T75" s="35">
        <f t="shared" si="11"/>
        <v>0</v>
      </c>
    </row>
    <row r="76" spans="4:20" x14ac:dyDescent="0.25">
      <c r="D76" s="18"/>
      <c r="J76" s="33" t="str">
        <f t="shared" si="6"/>
        <v/>
      </c>
      <c r="N76" s="33" t="str">
        <f t="shared" si="7"/>
        <v/>
      </c>
      <c r="P76" s="34" t="str">
        <f t="shared" si="8"/>
        <v/>
      </c>
      <c r="Q76" s="58" t="str">
        <f t="shared" si="9"/>
        <v/>
      </c>
      <c r="S76" s="35">
        <f t="shared" si="10"/>
        <v>0</v>
      </c>
      <c r="T76" s="35">
        <f t="shared" si="11"/>
        <v>0</v>
      </c>
    </row>
    <row r="77" spans="4:20" x14ac:dyDescent="0.25">
      <c r="D77" s="18"/>
      <c r="J77" s="33" t="str">
        <f t="shared" ref="J77:J98" si="12">IF(I77="","",I77-D77)</f>
        <v/>
      </c>
      <c r="N77" s="33" t="str">
        <f t="shared" ref="N77:N96" si="13">IF(M77="","",M77-I77)</f>
        <v/>
      </c>
      <c r="P77" s="34" t="str">
        <f t="shared" ref="P77:P96" si="14">IF(OR($F77=0, SUM($H77, $L77)&lt;$F77), "", IF($C77="Long", (IFERROR($G77*$H77,0) + IFERROR($K77*$L77,0)) - ($E77*$F77), ($E77*$F77) - (IFERROR($G77*$H77,0) + IFERROR($K77*$L77,0))) - IFERROR($O77,0))</f>
        <v/>
      </c>
      <c r="Q77" s="58" t="str">
        <f t="shared" ref="Q77:Q96" si="15">IF(P77="", "", P77 / ($E77 * $F77))</f>
        <v/>
      </c>
      <c r="S77" s="35">
        <f t="shared" ref="S77:S96" si="16">IF(C77="Long",((G77-E77)*H77),((E77-G77)*H77))</f>
        <v>0</v>
      </c>
      <c r="T77" s="35">
        <f t="shared" ref="T77:T96" si="17">IF(C77="Long",((K77-E77)*L77),((E77-K77)*L77))</f>
        <v>0</v>
      </c>
    </row>
    <row r="78" spans="4:20" x14ac:dyDescent="0.25">
      <c r="D78" s="18"/>
      <c r="J78" s="33" t="str">
        <f t="shared" si="12"/>
        <v/>
      </c>
      <c r="N78" s="33" t="str">
        <f t="shared" si="13"/>
        <v/>
      </c>
      <c r="P78" s="34" t="str">
        <f t="shared" si="14"/>
        <v/>
      </c>
      <c r="Q78" s="58" t="str">
        <f t="shared" si="15"/>
        <v/>
      </c>
      <c r="S78" s="35">
        <f t="shared" si="16"/>
        <v>0</v>
      </c>
      <c r="T78" s="35">
        <f t="shared" si="17"/>
        <v>0</v>
      </c>
    </row>
    <row r="79" spans="4:20" x14ac:dyDescent="0.25">
      <c r="D79" s="18"/>
      <c r="J79" s="33" t="str">
        <f t="shared" si="12"/>
        <v/>
      </c>
      <c r="N79" s="33" t="str">
        <f t="shared" si="13"/>
        <v/>
      </c>
      <c r="P79" s="34" t="str">
        <f t="shared" si="14"/>
        <v/>
      </c>
      <c r="Q79" s="58" t="str">
        <f t="shared" si="15"/>
        <v/>
      </c>
      <c r="S79" s="35">
        <f t="shared" si="16"/>
        <v>0</v>
      </c>
      <c r="T79" s="35">
        <f t="shared" si="17"/>
        <v>0</v>
      </c>
    </row>
    <row r="80" spans="4:20" x14ac:dyDescent="0.25">
      <c r="D80" s="18"/>
      <c r="J80" s="33" t="str">
        <f t="shared" si="12"/>
        <v/>
      </c>
      <c r="N80" s="33" t="str">
        <f t="shared" si="13"/>
        <v/>
      </c>
      <c r="P80" s="34" t="str">
        <f t="shared" si="14"/>
        <v/>
      </c>
      <c r="Q80" s="58" t="str">
        <f t="shared" si="15"/>
        <v/>
      </c>
      <c r="S80" s="35">
        <f t="shared" si="16"/>
        <v>0</v>
      </c>
      <c r="T80" s="35">
        <f t="shared" si="17"/>
        <v>0</v>
      </c>
    </row>
    <row r="81" spans="4:20" x14ac:dyDescent="0.25">
      <c r="D81" s="18"/>
      <c r="J81" s="33" t="str">
        <f t="shared" si="12"/>
        <v/>
      </c>
      <c r="N81" s="33" t="str">
        <f t="shared" si="13"/>
        <v/>
      </c>
      <c r="P81" s="34" t="str">
        <f t="shared" si="14"/>
        <v/>
      </c>
      <c r="Q81" s="58" t="str">
        <f t="shared" si="15"/>
        <v/>
      </c>
      <c r="S81" s="35">
        <f t="shared" si="16"/>
        <v>0</v>
      </c>
      <c r="T81" s="35">
        <f t="shared" si="17"/>
        <v>0</v>
      </c>
    </row>
    <row r="82" spans="4:20" x14ac:dyDescent="0.25">
      <c r="D82" s="18"/>
      <c r="J82" s="33" t="str">
        <f t="shared" si="12"/>
        <v/>
      </c>
      <c r="N82" s="33" t="str">
        <f t="shared" si="13"/>
        <v/>
      </c>
      <c r="P82" s="34" t="str">
        <f t="shared" si="14"/>
        <v/>
      </c>
      <c r="Q82" s="58" t="str">
        <f t="shared" si="15"/>
        <v/>
      </c>
      <c r="S82" s="35">
        <f t="shared" si="16"/>
        <v>0</v>
      </c>
      <c r="T82" s="35">
        <f t="shared" si="17"/>
        <v>0</v>
      </c>
    </row>
    <row r="83" spans="4:20" x14ac:dyDescent="0.25">
      <c r="D83" s="18"/>
      <c r="J83" s="33" t="str">
        <f t="shared" si="12"/>
        <v/>
      </c>
      <c r="N83" s="33" t="str">
        <f t="shared" si="13"/>
        <v/>
      </c>
      <c r="P83" s="34" t="str">
        <f t="shared" si="14"/>
        <v/>
      </c>
      <c r="Q83" s="58" t="str">
        <f t="shared" si="15"/>
        <v/>
      </c>
      <c r="S83" s="35">
        <f t="shared" si="16"/>
        <v>0</v>
      </c>
      <c r="T83" s="35">
        <f t="shared" si="17"/>
        <v>0</v>
      </c>
    </row>
    <row r="84" spans="4:20" x14ac:dyDescent="0.25">
      <c r="D84" s="18"/>
      <c r="J84" s="33" t="str">
        <f t="shared" si="12"/>
        <v/>
      </c>
      <c r="N84" s="33" t="str">
        <f t="shared" si="13"/>
        <v/>
      </c>
      <c r="P84" s="34" t="str">
        <f t="shared" si="14"/>
        <v/>
      </c>
      <c r="Q84" s="58" t="str">
        <f t="shared" si="15"/>
        <v/>
      </c>
      <c r="S84" s="35">
        <f t="shared" si="16"/>
        <v>0</v>
      </c>
      <c r="T84" s="35">
        <f t="shared" si="17"/>
        <v>0</v>
      </c>
    </row>
    <row r="85" spans="4:20" x14ac:dyDescent="0.25">
      <c r="D85" s="18"/>
      <c r="J85" s="33" t="str">
        <f t="shared" si="12"/>
        <v/>
      </c>
      <c r="N85" s="33" t="str">
        <f t="shared" si="13"/>
        <v/>
      </c>
      <c r="P85" s="34" t="str">
        <f t="shared" si="14"/>
        <v/>
      </c>
      <c r="Q85" s="58" t="str">
        <f t="shared" si="15"/>
        <v/>
      </c>
      <c r="S85" s="35">
        <f t="shared" si="16"/>
        <v>0</v>
      </c>
      <c r="T85" s="35">
        <f t="shared" si="17"/>
        <v>0</v>
      </c>
    </row>
    <row r="86" spans="4:20" x14ac:dyDescent="0.25">
      <c r="D86" s="18"/>
      <c r="J86" s="33" t="str">
        <f t="shared" si="12"/>
        <v/>
      </c>
      <c r="N86" s="33" t="str">
        <f t="shared" si="13"/>
        <v/>
      </c>
      <c r="P86" s="34" t="str">
        <f t="shared" si="14"/>
        <v/>
      </c>
      <c r="Q86" s="58" t="str">
        <f t="shared" si="15"/>
        <v/>
      </c>
      <c r="S86" s="35">
        <f t="shared" si="16"/>
        <v>0</v>
      </c>
      <c r="T86" s="35">
        <f t="shared" si="17"/>
        <v>0</v>
      </c>
    </row>
    <row r="87" spans="4:20" x14ac:dyDescent="0.25">
      <c r="D87" s="18"/>
      <c r="J87" s="33" t="str">
        <f t="shared" si="12"/>
        <v/>
      </c>
      <c r="N87" s="33" t="str">
        <f t="shared" si="13"/>
        <v/>
      </c>
      <c r="P87" s="34" t="str">
        <f t="shared" si="14"/>
        <v/>
      </c>
      <c r="Q87" s="58" t="str">
        <f t="shared" si="15"/>
        <v/>
      </c>
      <c r="S87" s="35">
        <f t="shared" si="16"/>
        <v>0</v>
      </c>
      <c r="T87" s="35">
        <f t="shared" si="17"/>
        <v>0</v>
      </c>
    </row>
    <row r="88" spans="4:20" x14ac:dyDescent="0.25">
      <c r="D88" s="18"/>
      <c r="J88" s="33" t="str">
        <f t="shared" si="12"/>
        <v/>
      </c>
      <c r="N88" s="33" t="str">
        <f t="shared" si="13"/>
        <v/>
      </c>
      <c r="P88" s="34" t="str">
        <f t="shared" si="14"/>
        <v/>
      </c>
      <c r="Q88" s="58" t="str">
        <f t="shared" si="15"/>
        <v/>
      </c>
      <c r="S88" s="35">
        <f t="shared" si="16"/>
        <v>0</v>
      </c>
      <c r="T88" s="35">
        <f t="shared" si="17"/>
        <v>0</v>
      </c>
    </row>
    <row r="89" spans="4:20" x14ac:dyDescent="0.25">
      <c r="D89" s="18"/>
      <c r="J89" s="33" t="str">
        <f t="shared" si="12"/>
        <v/>
      </c>
      <c r="N89" s="33" t="str">
        <f t="shared" si="13"/>
        <v/>
      </c>
      <c r="P89" s="34" t="str">
        <f t="shared" si="14"/>
        <v/>
      </c>
      <c r="Q89" s="58" t="str">
        <f t="shared" si="15"/>
        <v/>
      </c>
      <c r="S89" s="35">
        <f t="shared" si="16"/>
        <v>0</v>
      </c>
      <c r="T89" s="35">
        <f t="shared" si="17"/>
        <v>0</v>
      </c>
    </row>
    <row r="90" spans="4:20" x14ac:dyDescent="0.25">
      <c r="D90" s="18"/>
      <c r="J90" s="33" t="str">
        <f t="shared" si="12"/>
        <v/>
      </c>
      <c r="N90" s="33" t="str">
        <f t="shared" si="13"/>
        <v/>
      </c>
      <c r="P90" s="34" t="str">
        <f t="shared" si="14"/>
        <v/>
      </c>
      <c r="Q90" s="58" t="str">
        <f t="shared" si="15"/>
        <v/>
      </c>
      <c r="S90" s="35">
        <f t="shared" si="16"/>
        <v>0</v>
      </c>
      <c r="T90" s="35">
        <f t="shared" si="17"/>
        <v>0</v>
      </c>
    </row>
    <row r="91" spans="4:20" x14ac:dyDescent="0.25">
      <c r="D91" s="18"/>
      <c r="J91" s="33" t="str">
        <f t="shared" si="12"/>
        <v/>
      </c>
      <c r="N91" s="33" t="str">
        <f t="shared" si="13"/>
        <v/>
      </c>
      <c r="P91" s="34" t="str">
        <f t="shared" si="14"/>
        <v/>
      </c>
      <c r="Q91" s="58" t="str">
        <f t="shared" si="15"/>
        <v/>
      </c>
      <c r="S91" s="35">
        <f t="shared" si="16"/>
        <v>0</v>
      </c>
      <c r="T91" s="35">
        <f t="shared" si="17"/>
        <v>0</v>
      </c>
    </row>
    <row r="92" spans="4:20" x14ac:dyDescent="0.25">
      <c r="D92" s="18"/>
      <c r="J92" s="33" t="str">
        <f t="shared" si="12"/>
        <v/>
      </c>
      <c r="N92" s="33" t="str">
        <f t="shared" si="13"/>
        <v/>
      </c>
      <c r="P92" s="34" t="str">
        <f t="shared" si="14"/>
        <v/>
      </c>
      <c r="Q92" s="58" t="str">
        <f t="shared" si="15"/>
        <v/>
      </c>
      <c r="S92" s="35">
        <f t="shared" si="16"/>
        <v>0</v>
      </c>
      <c r="T92" s="35">
        <f t="shared" si="17"/>
        <v>0</v>
      </c>
    </row>
    <row r="93" spans="4:20" x14ac:dyDescent="0.25">
      <c r="D93" s="18"/>
      <c r="J93" s="33" t="str">
        <f t="shared" si="12"/>
        <v/>
      </c>
      <c r="N93" s="33" t="str">
        <f t="shared" si="13"/>
        <v/>
      </c>
      <c r="P93" s="34" t="str">
        <f t="shared" si="14"/>
        <v/>
      </c>
      <c r="Q93" s="58" t="str">
        <f t="shared" si="15"/>
        <v/>
      </c>
      <c r="S93" s="35">
        <f t="shared" si="16"/>
        <v>0</v>
      </c>
      <c r="T93" s="35">
        <f t="shared" si="17"/>
        <v>0</v>
      </c>
    </row>
    <row r="94" spans="4:20" x14ac:dyDescent="0.25">
      <c r="D94" s="18"/>
      <c r="J94" s="33" t="str">
        <f t="shared" si="12"/>
        <v/>
      </c>
      <c r="N94" s="33" t="str">
        <f t="shared" si="13"/>
        <v/>
      </c>
      <c r="P94" s="34" t="str">
        <f t="shared" si="14"/>
        <v/>
      </c>
      <c r="Q94" s="58" t="str">
        <f t="shared" si="15"/>
        <v/>
      </c>
      <c r="S94" s="35">
        <f t="shared" si="16"/>
        <v>0</v>
      </c>
      <c r="T94" s="35">
        <f t="shared" si="17"/>
        <v>0</v>
      </c>
    </row>
    <row r="95" spans="4:20" x14ac:dyDescent="0.25">
      <c r="D95" s="18"/>
      <c r="J95" s="33" t="str">
        <f t="shared" si="12"/>
        <v/>
      </c>
      <c r="N95" s="33" t="str">
        <f t="shared" si="13"/>
        <v/>
      </c>
      <c r="P95" s="34" t="str">
        <f t="shared" si="14"/>
        <v/>
      </c>
      <c r="Q95" s="58" t="str">
        <f t="shared" si="15"/>
        <v/>
      </c>
      <c r="S95" s="35">
        <f t="shared" si="16"/>
        <v>0</v>
      </c>
      <c r="T95" s="35">
        <f t="shared" si="17"/>
        <v>0</v>
      </c>
    </row>
    <row r="96" spans="4:20" x14ac:dyDescent="0.25">
      <c r="D96" s="18"/>
      <c r="J96" s="33" t="str">
        <f t="shared" si="12"/>
        <v/>
      </c>
      <c r="N96" s="33" t="str">
        <f t="shared" si="13"/>
        <v/>
      </c>
      <c r="P96" s="34" t="str">
        <f t="shared" si="14"/>
        <v/>
      </c>
      <c r="Q96" s="58" t="str">
        <f t="shared" si="15"/>
        <v/>
      </c>
      <c r="S96" s="35">
        <f t="shared" si="16"/>
        <v>0</v>
      </c>
      <c r="T96" s="35">
        <f t="shared" si="17"/>
        <v>0</v>
      </c>
    </row>
    <row r="97" spans="1:20" ht="18.600000000000001" customHeight="1" x14ac:dyDescent="0.3">
      <c r="A97" s="22" t="s">
        <v>104</v>
      </c>
      <c r="C97" s="24"/>
      <c r="D97" s="24"/>
      <c r="E97" s="23"/>
      <c r="F97" s="24"/>
      <c r="G97" s="23"/>
      <c r="H97" s="25"/>
      <c r="I97" s="26"/>
      <c r="J97" s="27" t="str">
        <f t="shared" si="12"/>
        <v/>
      </c>
      <c r="K97" s="23"/>
      <c r="L97" s="25"/>
      <c r="M97" s="26"/>
      <c r="N97" s="27" t="str">
        <f>IF(K97="","",M97-I97)</f>
        <v/>
      </c>
      <c r="O97" s="23"/>
      <c r="P97" s="28"/>
      <c r="Q97" s="23"/>
      <c r="R97" s="29"/>
      <c r="S97" s="30"/>
      <c r="T97" s="29"/>
    </row>
    <row r="98" spans="1:20" x14ac:dyDescent="0.25">
      <c r="A98" s="16"/>
      <c r="J98" s="19" t="str">
        <f t="shared" si="12"/>
        <v/>
      </c>
      <c r="N98" s="19" t="str">
        <f>IF(K98="","",M98-I98)</f>
        <v/>
      </c>
      <c r="R98" s="72">
        <f>SUM('Trade Log'!$P$2:$P$96)</f>
        <v>2634.2300000000005</v>
      </c>
    </row>
  </sheetData>
  <dataValidations count="1">
    <dataValidation type="list" allowBlank="1" showInputMessage="1" showErrorMessage="1" sqref="C2:C96" xr:uid="{00000000-0002-0000-0000-000000000000}">
      <formula1>$V$2:$V$3</formula1>
    </dataValidation>
  </dataValidations>
  <pageMargins left="0.7" right="0.7" top="0.75" bottom="0.75" header="0.3" footer="0.3"/>
  <pageSetup orientation="portrait" horizontalDpi="429496729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7"/>
  <sheetViews>
    <sheetView workbookViewId="0">
      <selection activeCell="O23" sqref="O23"/>
    </sheetView>
  </sheetViews>
  <sheetFormatPr defaultRowHeight="15" x14ac:dyDescent="0.25"/>
  <cols>
    <col min="1" max="1" width="4" customWidth="1"/>
    <col min="2" max="2" width="23.140625" customWidth="1"/>
    <col min="3" max="3" width="15.85546875" style="37" customWidth="1"/>
    <col min="4" max="4" width="3.140625" customWidth="1"/>
    <col min="5" max="5" width="21" customWidth="1"/>
    <col min="6" max="6" width="15.85546875" style="37" customWidth="1"/>
    <col min="7" max="7" width="3.28515625" customWidth="1"/>
    <col min="8" max="8" width="20.140625" customWidth="1"/>
    <col min="9" max="9" width="16.42578125" style="37" customWidth="1"/>
    <col min="10" max="10" width="3.140625" customWidth="1"/>
    <col min="11" max="11" width="20" customWidth="1"/>
    <col min="12" max="12" width="15.85546875" style="37" customWidth="1"/>
    <col min="13" max="13" width="2.7109375" customWidth="1"/>
    <col min="14" max="14" width="20.85546875" customWidth="1"/>
    <col min="15" max="15" width="15.7109375" style="37" customWidth="1"/>
  </cols>
  <sheetData>
    <row r="1" spans="1:15" ht="15" customHeight="1" thickBot="1" x14ac:dyDescent="0.3">
      <c r="A1" s="75" t="s">
        <v>0</v>
      </c>
    </row>
    <row r="2" spans="1:15" s="38" customFormat="1" ht="18.600000000000001" customHeight="1" x14ac:dyDescent="0.3">
      <c r="B2" s="39" t="s">
        <v>1</v>
      </c>
      <c r="C2" s="40"/>
      <c r="D2" s="41"/>
      <c r="E2" s="39" t="s">
        <v>2</v>
      </c>
      <c r="F2" s="40"/>
      <c r="G2" s="41"/>
      <c r="H2" s="39" t="s">
        <v>3</v>
      </c>
      <c r="I2" s="40"/>
      <c r="J2" s="41"/>
      <c r="K2" s="39" t="s">
        <v>4</v>
      </c>
      <c r="L2" s="40"/>
      <c r="M2" s="41"/>
      <c r="N2" s="39" t="s">
        <v>5</v>
      </c>
      <c r="O2" s="40"/>
    </row>
    <row r="3" spans="1:15" ht="18.600000000000001" customHeight="1" x14ac:dyDescent="0.3">
      <c r="B3" s="42"/>
      <c r="C3" s="1"/>
      <c r="D3" s="43"/>
      <c r="E3" s="42"/>
      <c r="F3" s="1"/>
      <c r="G3" s="43"/>
      <c r="H3" s="42"/>
      <c r="I3" s="1"/>
      <c r="J3" s="43"/>
      <c r="K3" s="42"/>
      <c r="L3" s="1"/>
      <c r="M3" s="43"/>
      <c r="N3" s="42"/>
      <c r="O3" s="1"/>
    </row>
    <row r="4" spans="1:15" ht="18.600000000000001" customHeight="1" x14ac:dyDescent="0.3">
      <c r="B4" s="42" t="s">
        <v>6</v>
      </c>
      <c r="C4" s="59">
        <f>COUNT('Trade Log'!$P$2:$P$96)</f>
        <v>35</v>
      </c>
      <c r="D4" s="43"/>
      <c r="E4" s="42" t="s">
        <v>6</v>
      </c>
      <c r="F4" s="1">
        <f>F5+F6</f>
        <v>27</v>
      </c>
      <c r="G4" s="43"/>
      <c r="H4" s="42" t="s">
        <v>6</v>
      </c>
      <c r="I4" s="1">
        <f>I5+I6</f>
        <v>12</v>
      </c>
      <c r="J4" s="43"/>
      <c r="K4" s="42" t="s">
        <v>6</v>
      </c>
      <c r="L4" s="1">
        <f>L5+L6</f>
        <v>0</v>
      </c>
      <c r="M4" s="43"/>
      <c r="N4" s="42" t="s">
        <v>6</v>
      </c>
      <c r="O4" s="1">
        <f>O5+O6</f>
        <v>0</v>
      </c>
    </row>
    <row r="5" spans="1:15" ht="18.600000000000001" customHeight="1" x14ac:dyDescent="0.3">
      <c r="B5" s="42" t="s">
        <v>7</v>
      </c>
      <c r="C5" s="1">
        <f>COUNTIF(TradeLog[Gain/Loss],"&gt;0")</f>
        <v>16</v>
      </c>
      <c r="D5" s="43"/>
      <c r="E5" s="42" t="s">
        <v>7</v>
      </c>
      <c r="F5" s="73">
        <f>COUNTIF(TradeLog[Gain/Loss],"&gt;0")</f>
        <v>16</v>
      </c>
      <c r="G5" s="43"/>
      <c r="H5" s="42" t="s">
        <v>7</v>
      </c>
      <c r="I5" s="1">
        <f>COUNTIF('Trade Log'!P27:P46,"&gt;0")</f>
        <v>4</v>
      </c>
      <c r="J5" s="43"/>
      <c r="K5" s="42" t="s">
        <v>7</v>
      </c>
      <c r="L5" s="1">
        <f>COUNTIF('Trade Log'!P47:P71,"&gt;0")</f>
        <v>0</v>
      </c>
      <c r="M5" s="43"/>
      <c r="N5" s="42" t="s">
        <v>7</v>
      </c>
      <c r="O5" s="1">
        <f>COUNTIF('Trade Log'!P72:P96,"&gt;0")</f>
        <v>0</v>
      </c>
    </row>
    <row r="6" spans="1:15" ht="18.600000000000001" customHeight="1" x14ac:dyDescent="0.3">
      <c r="B6" s="42" t="s">
        <v>8</v>
      </c>
      <c r="C6" s="1">
        <f>COUNTIF(TradeLog[Gain/Loss],"&lt;0")</f>
        <v>19</v>
      </c>
      <c r="D6" s="43"/>
      <c r="E6" s="42" t="s">
        <v>8</v>
      </c>
      <c r="F6" s="1">
        <f>COUNTIF('Trade Log'!P2:P26,"&lt;0")</f>
        <v>11</v>
      </c>
      <c r="G6" s="43"/>
      <c r="H6" s="42" t="s">
        <v>8</v>
      </c>
      <c r="I6" s="1">
        <f>COUNTIF('Trade Log'!P27:P46,"&lt;0")</f>
        <v>8</v>
      </c>
      <c r="J6" s="43"/>
      <c r="K6" s="42" t="s">
        <v>8</v>
      </c>
      <c r="L6" s="1">
        <f>COUNTIF('Trade Log'!P47:P71,"&lt;0")</f>
        <v>0</v>
      </c>
      <c r="M6" s="43"/>
      <c r="N6" s="42" t="s">
        <v>8</v>
      </c>
      <c r="O6" s="1">
        <f>COUNTIF('Trade Log'!P72:P96,"&lt;0")</f>
        <v>0</v>
      </c>
    </row>
    <row r="7" spans="1:15" s="44" customFormat="1" ht="18.600000000000001" customHeight="1" x14ac:dyDescent="0.3">
      <c r="B7" s="45" t="s">
        <v>9</v>
      </c>
      <c r="C7" s="2">
        <f>IF(C5=0,"0",C5/C4)</f>
        <v>0.45714285714285713</v>
      </c>
      <c r="D7" s="46"/>
      <c r="E7" s="45" t="s">
        <v>9</v>
      </c>
      <c r="F7" s="2">
        <f>IF(F5=0,"0",F5/F4)</f>
        <v>0.59259259259259256</v>
      </c>
      <c r="G7" s="46"/>
      <c r="H7" s="45" t="s">
        <v>9</v>
      </c>
      <c r="I7" s="2">
        <f>IF(I5=0,"0",I5/I4)</f>
        <v>0.33333333333333331</v>
      </c>
      <c r="J7" s="46"/>
      <c r="K7" s="45" t="s">
        <v>9</v>
      </c>
      <c r="L7" s="2" t="str">
        <f>IF(L5=0,"0",L5/L4)</f>
        <v>0</v>
      </c>
      <c r="M7" s="46"/>
      <c r="N7" s="45" t="s">
        <v>9</v>
      </c>
      <c r="O7" s="2" t="str">
        <f>IF(O5=0,"0",O5/O4)</f>
        <v>0</v>
      </c>
    </row>
    <row r="8" spans="1:15" s="44" customFormat="1" ht="18.600000000000001" customHeight="1" x14ac:dyDescent="0.3">
      <c r="B8" s="45" t="s">
        <v>10</v>
      </c>
      <c r="C8" s="2">
        <f>IF(C6=0,"0",C6/C4)</f>
        <v>0.54285714285714282</v>
      </c>
      <c r="D8" s="46"/>
      <c r="E8" s="45" t="s">
        <v>10</v>
      </c>
      <c r="F8" s="2">
        <f>IF(F6=0,"0",F6/F4)</f>
        <v>0.40740740740740738</v>
      </c>
      <c r="G8" s="46"/>
      <c r="H8" s="45" t="s">
        <v>10</v>
      </c>
      <c r="I8" s="2">
        <f>IF(I6=0,"0",I6/I4)</f>
        <v>0.66666666666666663</v>
      </c>
      <c r="J8" s="46"/>
      <c r="K8" s="45" t="s">
        <v>10</v>
      </c>
      <c r="L8" s="2" t="str">
        <f>IF(L6=0,"0",L6/L4)</f>
        <v>0</v>
      </c>
      <c r="M8" s="46"/>
      <c r="N8" s="45" t="s">
        <v>10</v>
      </c>
      <c r="O8" s="2" t="str">
        <f>IF(O6=0,"0",O6/O4)</f>
        <v>0</v>
      </c>
    </row>
    <row r="9" spans="1:15" ht="18.600000000000001" customHeight="1" x14ac:dyDescent="0.3">
      <c r="B9" s="42" t="s">
        <v>11</v>
      </c>
      <c r="C9" s="60">
        <f>IFERROR(AVERAGEIF('Trade Log'!$P$2:$P$96, "&gt;0"), 0)</f>
        <v>347.32749999999999</v>
      </c>
      <c r="D9" s="47"/>
      <c r="E9" s="48" t="s">
        <v>11</v>
      </c>
      <c r="F9" s="3">
        <f>IF(F5=0,"0",F15/F5)</f>
        <v>306.3725</v>
      </c>
      <c r="G9" s="47"/>
      <c r="H9" s="48" t="s">
        <v>11</v>
      </c>
      <c r="I9" s="3">
        <f>IF(I5=0,"0",I15/I5)</f>
        <v>163.81999999999994</v>
      </c>
      <c r="J9" s="47"/>
      <c r="K9" s="48" t="s">
        <v>11</v>
      </c>
      <c r="L9" s="3" t="str">
        <f>IF(L5=0,"0",L15/L5)</f>
        <v>0</v>
      </c>
      <c r="M9" s="47"/>
      <c r="N9" s="48" t="s">
        <v>11</v>
      </c>
      <c r="O9" s="3" t="str">
        <f>IF(O5=0,"0",O15/O5)</f>
        <v>0</v>
      </c>
    </row>
    <row r="10" spans="1:15" ht="18.600000000000001" customHeight="1" x14ac:dyDescent="0.3">
      <c r="B10" s="42" t="s">
        <v>12</v>
      </c>
      <c r="C10" s="60">
        <f>IFERROR(AVERAGEIF('Trade Log'!$P$2:$P$96, "&lt;0"), 0)</f>
        <v>-153.84263157894736</v>
      </c>
      <c r="D10" s="47"/>
      <c r="E10" s="48" t="s">
        <v>12</v>
      </c>
      <c r="F10" s="3">
        <f>IF(F6=0,"0",F16/F6)</f>
        <v>-180.21272727272728</v>
      </c>
      <c r="G10" s="47"/>
      <c r="H10" s="48" t="s">
        <v>12</v>
      </c>
      <c r="I10" s="3">
        <f>IF(I6=0,"0",I16/I6)</f>
        <v>-117.58374999999999</v>
      </c>
      <c r="J10" s="47"/>
      <c r="K10" s="48" t="s">
        <v>12</v>
      </c>
      <c r="L10" s="3" t="str">
        <f>IF(L6=0,"0",L16/L6)</f>
        <v>0</v>
      </c>
      <c r="M10" s="47"/>
      <c r="N10" s="48" t="s">
        <v>12</v>
      </c>
      <c r="O10" s="3" t="str">
        <f>IF(O6=0,"0",O16/O6)</f>
        <v>0</v>
      </c>
    </row>
    <row r="11" spans="1:15" ht="18.600000000000001" customHeight="1" x14ac:dyDescent="0.3">
      <c r="B11" s="42" t="s">
        <v>13</v>
      </c>
      <c r="C11" s="4">
        <f>IF(C5=0,"0",C9/-C10)</f>
        <v>2.2576804389995244</v>
      </c>
      <c r="D11" s="49"/>
      <c r="E11" s="50" t="s">
        <v>13</v>
      </c>
      <c r="F11" s="4">
        <f>IF(F5=0,"0",F9/-F10)</f>
        <v>1.7000602822926441</v>
      </c>
      <c r="G11" s="49"/>
      <c r="H11" s="50" t="s">
        <v>13</v>
      </c>
      <c r="I11" s="4">
        <f>IF(I5=0,"0",I9/-I10)</f>
        <v>1.3932197263652497</v>
      </c>
      <c r="J11" s="49"/>
      <c r="K11" s="50" t="s">
        <v>13</v>
      </c>
      <c r="L11" s="4" t="str">
        <f>IF(L5=0,"0",L9/-L10)</f>
        <v>0</v>
      </c>
      <c r="M11" s="49"/>
      <c r="N11" s="50" t="s">
        <v>13</v>
      </c>
      <c r="O11" s="4" t="str">
        <f>IF(O5=0,"0",O9/-O10)</f>
        <v>0</v>
      </c>
    </row>
    <row r="12" spans="1:15" s="44" customFormat="1" ht="18.600000000000001" customHeight="1" x14ac:dyDescent="0.3">
      <c r="B12" s="45" t="s">
        <v>14</v>
      </c>
      <c r="C12" s="2">
        <f>(C11*C7)-C8</f>
        <v>0.4892253435426398</v>
      </c>
      <c r="D12" s="46"/>
      <c r="E12" s="45" t="s">
        <v>14</v>
      </c>
      <c r="F12" s="2">
        <f>(F11*F7)-F8</f>
        <v>0.60003572284008522</v>
      </c>
      <c r="G12" s="46"/>
      <c r="H12" s="45" t="s">
        <v>14</v>
      </c>
      <c r="I12" s="2">
        <f>(I11*I7)-I8</f>
        <v>-0.20226009121158339</v>
      </c>
      <c r="J12" s="46"/>
      <c r="K12" s="45" t="s">
        <v>14</v>
      </c>
      <c r="L12" s="2">
        <f>(L11*L7)-L8</f>
        <v>0</v>
      </c>
      <c r="M12" s="46"/>
      <c r="N12" s="45" t="s">
        <v>14</v>
      </c>
      <c r="O12" s="2">
        <f>(O11*O7)-O8</f>
        <v>0</v>
      </c>
    </row>
    <row r="13" spans="1:15" s="44" customFormat="1" ht="18.600000000000001" customHeight="1" x14ac:dyDescent="0.3">
      <c r="B13" s="45" t="s">
        <v>15</v>
      </c>
      <c r="C13" s="2">
        <f>IF(C12=0,"0",C7-(C8/C11))</f>
        <v>0.21669379558403606</v>
      </c>
      <c r="D13" s="46"/>
      <c r="E13" s="45" t="s">
        <v>15</v>
      </c>
      <c r="F13" s="2">
        <f>IF(F12=0,"0",F7-(F8/F11))</f>
        <v>0.35294967424972568</v>
      </c>
      <c r="G13" s="46"/>
      <c r="H13" s="45" t="s">
        <v>15</v>
      </c>
      <c r="I13" s="2">
        <f>IF(I12=0,"0",I7-(I8/I11))</f>
        <v>-0.1451745818581372</v>
      </c>
      <c r="J13" s="46"/>
      <c r="K13" s="45" t="s">
        <v>15</v>
      </c>
      <c r="L13" s="2" t="str">
        <f>IF(L12=0,"0",L7-(L8/L11))</f>
        <v>0</v>
      </c>
      <c r="M13" s="46"/>
      <c r="N13" s="45" t="s">
        <v>15</v>
      </c>
      <c r="O13" s="2" t="str">
        <f>IF(O12=0,"0",O7-(O8/O11))</f>
        <v>0</v>
      </c>
    </row>
    <row r="14" spans="1:15" ht="18.600000000000001" customHeight="1" x14ac:dyDescent="0.3">
      <c r="B14" s="42"/>
      <c r="C14" s="1"/>
      <c r="D14" s="43"/>
      <c r="E14" s="42"/>
      <c r="F14" s="1"/>
      <c r="G14" s="43"/>
      <c r="H14" s="42"/>
      <c r="I14" s="1"/>
      <c r="J14" s="43"/>
      <c r="K14" s="42"/>
      <c r="L14" s="1"/>
      <c r="M14" s="43"/>
      <c r="N14" s="42"/>
      <c r="O14" s="1"/>
    </row>
    <row r="15" spans="1:15" ht="18.600000000000001" customHeight="1" x14ac:dyDescent="0.3">
      <c r="B15" s="42" t="s">
        <v>16</v>
      </c>
      <c r="C15" s="3">
        <f>SUMIF('Trade Log'!P2:P96,"&gt;0")</f>
        <v>5557.24</v>
      </c>
      <c r="D15" s="47"/>
      <c r="E15" s="48" t="s">
        <v>16</v>
      </c>
      <c r="F15" s="3">
        <f>SUMIF('Trade Log'!P2:P26,"&gt;0")</f>
        <v>4901.96</v>
      </c>
      <c r="G15" s="47"/>
      <c r="H15" s="48" t="s">
        <v>16</v>
      </c>
      <c r="I15" s="3">
        <f>SUMIF('Trade Log'!P27:P46,"&gt;0")</f>
        <v>655.27999999999975</v>
      </c>
      <c r="J15" s="47"/>
      <c r="K15" s="48" t="s">
        <v>16</v>
      </c>
      <c r="L15" s="3">
        <f>SUMIF('Trade Log'!P47:P71,"&gt;0")</f>
        <v>0</v>
      </c>
      <c r="M15" s="47"/>
      <c r="N15" s="48" t="s">
        <v>16</v>
      </c>
      <c r="O15" s="3">
        <f>SUMIF('Trade Log'!P72:P96,"&gt;0")</f>
        <v>0</v>
      </c>
    </row>
    <row r="16" spans="1:15" ht="18.600000000000001" customHeight="1" x14ac:dyDescent="0.3">
      <c r="B16" s="42" t="s">
        <v>17</v>
      </c>
      <c r="C16" s="3">
        <f>SUMIF('Trade Log'!P2:P96,"&lt;0")</f>
        <v>-2923.0099999999998</v>
      </c>
      <c r="D16" s="47"/>
      <c r="E16" s="48" t="s">
        <v>17</v>
      </c>
      <c r="F16" s="3">
        <f>SUMIF('Trade Log'!P2:P26,"&lt;0")</f>
        <v>-1982.34</v>
      </c>
      <c r="G16" s="47"/>
      <c r="H16" s="48" t="s">
        <v>17</v>
      </c>
      <c r="I16" s="3">
        <f>SUMIF('Trade Log'!P27:P46,"&lt;0")</f>
        <v>-940.67</v>
      </c>
      <c r="J16" s="47"/>
      <c r="K16" s="48" t="s">
        <v>17</v>
      </c>
      <c r="L16" s="3">
        <f>SUMIF('Trade Log'!P47:P71,"&lt;0")</f>
        <v>0</v>
      </c>
      <c r="M16" s="47"/>
      <c r="N16" s="48" t="s">
        <v>17</v>
      </c>
      <c r="O16" s="3">
        <f>SUMIF('Trade Log'!P72:P96,"&lt;0")</f>
        <v>0</v>
      </c>
    </row>
    <row r="17" spans="2:15" ht="18.95" customHeight="1" thickBot="1" x14ac:dyDescent="0.35">
      <c r="B17" s="51" t="s">
        <v>18</v>
      </c>
      <c r="C17" s="36">
        <f>C15+C16</f>
        <v>2634.23</v>
      </c>
      <c r="D17" s="47"/>
      <c r="E17" s="52" t="s">
        <v>18</v>
      </c>
      <c r="F17" s="36">
        <f>F15+F16</f>
        <v>2919.62</v>
      </c>
      <c r="G17" s="47"/>
      <c r="H17" s="52" t="s">
        <v>18</v>
      </c>
      <c r="I17" s="36">
        <f>I15+I16</f>
        <v>-285.39000000000021</v>
      </c>
      <c r="J17" s="47"/>
      <c r="K17" s="52" t="s">
        <v>18</v>
      </c>
      <c r="L17" s="36">
        <f>L15+L16</f>
        <v>0</v>
      </c>
      <c r="M17" s="47"/>
      <c r="N17" s="52" t="s">
        <v>18</v>
      </c>
      <c r="O17" s="36">
        <f>O15+O16</f>
        <v>0</v>
      </c>
    </row>
    <row r="18" spans="2:15" ht="15" customHeight="1" thickBot="1" x14ac:dyDescent="0.3">
      <c r="B18" s="53"/>
      <c r="C18" s="54"/>
      <c r="E18" s="53"/>
      <c r="F18" s="54"/>
      <c r="H18" s="53"/>
      <c r="I18" s="54"/>
      <c r="K18" s="53"/>
      <c r="L18" s="54"/>
      <c r="N18" s="53"/>
      <c r="O18" s="54"/>
    </row>
    <row r="19" spans="2:15" ht="18.600000000000001" customHeight="1" x14ac:dyDescent="0.3">
      <c r="B19" s="55" t="s">
        <v>19</v>
      </c>
      <c r="C19" s="66"/>
      <c r="D19" s="43"/>
      <c r="E19" s="55" t="s">
        <v>19</v>
      </c>
      <c r="F19" s="66"/>
      <c r="G19" s="43"/>
      <c r="H19" s="55" t="s">
        <v>19</v>
      </c>
      <c r="I19" s="66"/>
      <c r="J19" s="43"/>
      <c r="K19" s="55" t="s">
        <v>19</v>
      </c>
      <c r="L19" s="66"/>
      <c r="M19" s="43"/>
      <c r="N19" s="55" t="s">
        <v>19</v>
      </c>
      <c r="O19" s="66"/>
    </row>
    <row r="20" spans="2:15" ht="18.600000000000001" customHeight="1" x14ac:dyDescent="0.3">
      <c r="B20" s="42"/>
      <c r="C20" s="61"/>
      <c r="D20" s="43"/>
      <c r="E20" s="42"/>
      <c r="F20" s="1"/>
      <c r="G20" s="43"/>
      <c r="H20" s="42"/>
      <c r="I20" s="1"/>
      <c r="J20" s="43"/>
      <c r="K20" s="42"/>
      <c r="L20" s="1"/>
      <c r="M20" s="43"/>
      <c r="N20" s="42"/>
      <c r="O20" s="1"/>
    </row>
    <row r="21" spans="2:15" ht="18.600000000000001" customHeight="1" x14ac:dyDescent="0.3">
      <c r="B21" s="42" t="s">
        <v>20</v>
      </c>
      <c r="C21" s="62">
        <f>IF(F21="","",F21)</f>
        <v>35000</v>
      </c>
      <c r="D21" s="43"/>
      <c r="E21" s="42" t="s">
        <v>20</v>
      </c>
      <c r="F21" s="67">
        <v>35000</v>
      </c>
      <c r="G21" s="43"/>
      <c r="H21" s="42" t="s">
        <v>20</v>
      </c>
      <c r="I21" s="67">
        <v>35000</v>
      </c>
      <c r="J21" s="43"/>
      <c r="K21" s="42" t="s">
        <v>20</v>
      </c>
      <c r="L21" s="67">
        <v>35000</v>
      </c>
      <c r="M21" s="43"/>
      <c r="N21" s="42" t="s">
        <v>20</v>
      </c>
      <c r="O21" s="67">
        <v>35000</v>
      </c>
    </row>
    <row r="22" spans="2:15" ht="18.600000000000001" customHeight="1" x14ac:dyDescent="0.3">
      <c r="B22" s="42" t="s">
        <v>21</v>
      </c>
      <c r="C22" s="2">
        <v>1.4999999999999999E-2</v>
      </c>
      <c r="D22" s="43"/>
      <c r="E22" s="42" t="s">
        <v>21</v>
      </c>
      <c r="F22" s="68">
        <v>1.4999999999999999E-2</v>
      </c>
      <c r="G22" s="43"/>
      <c r="H22" s="42" t="s">
        <v>21</v>
      </c>
      <c r="I22" s="68">
        <v>1.4999999999999999E-2</v>
      </c>
      <c r="J22" s="43"/>
      <c r="K22" s="42" t="s">
        <v>21</v>
      </c>
      <c r="L22" s="68">
        <v>1.4999999999999999E-2</v>
      </c>
      <c r="M22" s="43"/>
      <c r="N22" s="42" t="s">
        <v>21</v>
      </c>
      <c r="O22" s="68">
        <v>1.4999999999999999E-2</v>
      </c>
    </row>
    <row r="23" spans="2:15" ht="18.600000000000001" customHeight="1" x14ac:dyDescent="0.3">
      <c r="B23" s="42" t="s">
        <v>22</v>
      </c>
      <c r="C23" s="59">
        <f>C21*C22</f>
        <v>525</v>
      </c>
      <c r="D23" s="43"/>
      <c r="E23" s="42" t="s">
        <v>22</v>
      </c>
      <c r="F23" s="62">
        <f>IF(F21="","",F21*F22)</f>
        <v>525</v>
      </c>
      <c r="G23" s="43"/>
      <c r="H23" s="42" t="s">
        <v>22</v>
      </c>
      <c r="I23" s="62">
        <f>IF(I21="","",I21*I22)</f>
        <v>525</v>
      </c>
      <c r="J23" s="43"/>
      <c r="K23" s="42" t="s">
        <v>22</v>
      </c>
      <c r="L23" s="62">
        <f>IF(L21="","",L21*L22)</f>
        <v>525</v>
      </c>
      <c r="M23" s="43"/>
      <c r="N23" s="42" t="s">
        <v>22</v>
      </c>
      <c r="O23" s="62">
        <f>IF(O21="","",O21*O22)</f>
        <v>525</v>
      </c>
    </row>
    <row r="24" spans="2:15" ht="18.600000000000001" customHeight="1" x14ac:dyDescent="0.3">
      <c r="B24" s="42" t="s">
        <v>23</v>
      </c>
      <c r="C24" s="61">
        <f>IF(C6=0,"",C16/C21*-1)</f>
        <v>8.3514571428571424E-2</v>
      </c>
      <c r="D24" s="43"/>
      <c r="E24" s="42" t="s">
        <v>23</v>
      </c>
      <c r="F24" s="61">
        <f>IF(F6=0,"",F16/F21*-1)</f>
        <v>5.663828571428571E-2</v>
      </c>
      <c r="G24" s="43"/>
      <c r="H24" s="42" t="s">
        <v>23</v>
      </c>
      <c r="I24" s="61">
        <f>IF(I6=0,"",I10/I21*-1)</f>
        <v>3.3595357142857142E-3</v>
      </c>
      <c r="J24" s="43"/>
      <c r="K24" s="42" t="s">
        <v>23</v>
      </c>
      <c r="L24" s="61" t="str">
        <f>IF(L6=0,"",L10/L21*-1)</f>
        <v/>
      </c>
      <c r="M24" s="43"/>
      <c r="N24" s="42" t="s">
        <v>23</v>
      </c>
      <c r="O24" s="61" t="str">
        <f>IF(O6=0,"",O10/O21*-1)</f>
        <v/>
      </c>
    </row>
    <row r="25" spans="2:15" ht="18.600000000000001" customHeight="1" x14ac:dyDescent="0.3">
      <c r="B25" s="42" t="s">
        <v>24</v>
      </c>
      <c r="C25" s="1">
        <f>IF(C5=0,"",ROUND(AVERAGEIF('Trade Log'!P2:P96,"&gt;0",('Trade Log'!J2:J96)),2))</f>
        <v>9.3800000000000008</v>
      </c>
      <c r="D25" s="43"/>
      <c r="E25" s="42" t="s">
        <v>24</v>
      </c>
      <c r="F25" s="1">
        <f>IF(F5=0, "", ROUND(AVERAGEIF('Trade Log'!P2:P26, "&gt;0", 'Trade Log'!J2:J26), 2))</f>
        <v>6.83</v>
      </c>
      <c r="G25" s="43"/>
      <c r="H25" s="42" t="s">
        <v>24</v>
      </c>
      <c r="I25" s="1">
        <f>IF(I5=0,"",AVERAGEIF('Trade Log'!P26:P46,"&gt;0",('Trade Log'!J26:J46)))</f>
        <v>15</v>
      </c>
      <c r="J25" s="43"/>
      <c r="K25" s="42" t="s">
        <v>24</v>
      </c>
      <c r="L25" s="1" t="str">
        <f>IF(L5=0,"",ROUND(AVERAGEIF('Trade Log'!P47:P71,"&gt;0",('Trade Log'!J47:J51)),2))</f>
        <v/>
      </c>
      <c r="M25" s="43"/>
      <c r="N25" s="42" t="s">
        <v>24</v>
      </c>
      <c r="O25" s="1" t="str">
        <f>IF(O5=0,"",ROUND(AVERAGEIF('Trade Log'!P72:P96,"&gt;0",('Trade Log'!J72:J96)),2))</f>
        <v/>
      </c>
    </row>
    <row r="26" spans="2:15" ht="18.600000000000001" customHeight="1" x14ac:dyDescent="0.3">
      <c r="B26" s="42" t="s">
        <v>25</v>
      </c>
      <c r="C26" s="1">
        <f>IF(C6=0,"",ROUND(AVERAGEIF('Trade Log'!P2:P96,"&lt;0",('Trade Log'!J2:J96)),2))</f>
        <v>6.68</v>
      </c>
      <c r="D26" s="43"/>
      <c r="E26" s="42" t="s">
        <v>25</v>
      </c>
      <c r="F26" s="1">
        <f>IF(F6=0, "", ROUND(AVERAGEIF('Trade Log'!P2:P26, "&lt;0", 'Trade Log'!J2:J26), 2))</f>
        <v>3.82</v>
      </c>
      <c r="G26" s="43"/>
      <c r="H26" s="42" t="s">
        <v>25</v>
      </c>
      <c r="I26" s="1">
        <f>IF(I6=0,"",ROUND(AVERAGEIF('Trade Log'!P26:P46,"&lt;0",('Trade Log'!J26:J46)),2))</f>
        <v>10.63</v>
      </c>
      <c r="J26" s="43"/>
      <c r="K26" s="42" t="s">
        <v>25</v>
      </c>
      <c r="L26" s="1" t="str">
        <f>IF(L6=0,"",ROUND(AVERAGEIF('Trade Log'!P47:P71,"&lt;0",('Trade Log'!J47:J71)),2))</f>
        <v/>
      </c>
      <c r="M26" s="43"/>
      <c r="N26" s="42" t="s">
        <v>25</v>
      </c>
      <c r="O26" s="1" t="str">
        <f>IF(O6=0,"",ROUND(AVERAGEIF('Trade Log'!P72:P96,"&lt;0",('Trade Log'!J72:J96)),2))</f>
        <v/>
      </c>
    </row>
    <row r="27" spans="2:15" ht="36.950000000000003" customHeight="1" x14ac:dyDescent="0.3">
      <c r="B27" s="42" t="s">
        <v>26</v>
      </c>
      <c r="C27" s="63" t="str">
        <f>IFERROR(IF(C4=0, "", AVERAGEIF('Trade Log'!N2:N96,"&lt;&gt;")), "")</f>
        <v/>
      </c>
      <c r="D27" s="43"/>
      <c r="E27" s="74" t="s">
        <v>26</v>
      </c>
      <c r="F27" s="63" t="str">
        <f>IFERROR(IF(F4=0, "", AVERAGEIF('Trade Log'!N2:N26,"&lt;&gt;")), "")</f>
        <v/>
      </c>
      <c r="G27" s="43"/>
      <c r="H27" s="42" t="s">
        <v>26</v>
      </c>
      <c r="I27" s="63" t="str">
        <f>IFERROR(IF(I4=0, "", AVERAGEIF('Trade Log'!N27:N51,"&lt;&gt;")), "")</f>
        <v/>
      </c>
      <c r="J27" s="43"/>
      <c r="K27" s="42" t="s">
        <v>26</v>
      </c>
      <c r="L27" s="63" t="str">
        <f>IFERROR(IF(L4=0, "", AVERAGEIF('Trade Log'!N52:N76,"&lt;&gt;")), "")</f>
        <v/>
      </c>
      <c r="M27" s="43"/>
      <c r="N27" s="42" t="s">
        <v>26</v>
      </c>
      <c r="O27" s="63" t="str">
        <f>IFERROR(IF(O4=0, "", AVERAGEIF('Trade Log'!N77:N96,"&lt;&gt;")), "")</f>
        <v/>
      </c>
    </row>
    <row r="28" spans="2:15" ht="18.600000000000001" customHeight="1" x14ac:dyDescent="0.3">
      <c r="B28" s="42" t="s">
        <v>27</v>
      </c>
      <c r="C28" s="2">
        <f>IFERROR(C17 / C21, "")</f>
        <v>7.5263714285714281E-2</v>
      </c>
      <c r="D28" s="43"/>
      <c r="E28" s="42" t="s">
        <v>27</v>
      </c>
      <c r="F28" s="2">
        <f>IF(F4=0,"",F17/F21)</f>
        <v>8.3417714285714289E-2</v>
      </c>
      <c r="G28" s="43"/>
      <c r="H28" s="42" t="s">
        <v>27</v>
      </c>
      <c r="I28" s="2">
        <f>IF(I4=0,"",I17/I21)</f>
        <v>-8.1540000000000067E-3</v>
      </c>
      <c r="J28" s="43"/>
      <c r="K28" s="42" t="s">
        <v>27</v>
      </c>
      <c r="L28" s="2" t="str">
        <f>IF(L4=0,"",L17/L21)</f>
        <v/>
      </c>
      <c r="M28" s="43"/>
      <c r="N28" s="42" t="s">
        <v>27</v>
      </c>
      <c r="O28" s="2" t="str">
        <f>IF(O4=0,"",O17/O21)</f>
        <v/>
      </c>
    </row>
    <row r="29" spans="2:15" ht="18.600000000000001" customHeight="1" x14ac:dyDescent="0.3">
      <c r="B29" s="42" t="s">
        <v>28</v>
      </c>
      <c r="C29" s="64">
        <f>IF('Trade Log'!D2="","",'Trade Log'!D2)</f>
        <v>45965</v>
      </c>
      <c r="D29" s="69"/>
      <c r="E29" s="70" t="s">
        <v>28</v>
      </c>
      <c r="F29" s="64">
        <f>IF('Trade Log'!D2="","",'Trade Log'!D2)</f>
        <v>45965</v>
      </c>
      <c r="G29" s="69"/>
      <c r="H29" s="70" t="s">
        <v>28</v>
      </c>
      <c r="I29" s="64">
        <f>IF('Trade Log'!D27="","",'Trade Log'!D27)</f>
        <v>45995</v>
      </c>
      <c r="J29" s="69"/>
      <c r="K29" s="70" t="s">
        <v>28</v>
      </c>
      <c r="L29" s="64" t="str">
        <f>IF('Trade Log'!D47="","",'Trade Log'!D47)</f>
        <v/>
      </c>
      <c r="M29" s="69"/>
      <c r="N29" s="70" t="s">
        <v>28</v>
      </c>
      <c r="O29" s="64" t="str">
        <f>IF('Trade Log'!D72="","",'Trade Log'!D72)</f>
        <v/>
      </c>
    </row>
    <row r="30" spans="2:15" ht="18.95" customHeight="1" thickBot="1" x14ac:dyDescent="0.35">
      <c r="B30" s="51" t="s">
        <v>29</v>
      </c>
      <c r="C30" s="65" t="str">
        <f>IF('Trade Log'!I96="","",'Trade Log'!I96)</f>
        <v/>
      </c>
      <c r="D30" s="69"/>
      <c r="E30" s="71" t="s">
        <v>29</v>
      </c>
      <c r="F30" s="65">
        <f>IF('Trade Log'!I26="","",'Trade Log'!I26)</f>
        <v>46002</v>
      </c>
      <c r="G30" s="69"/>
      <c r="H30" s="71" t="s">
        <v>29</v>
      </c>
      <c r="I30" s="65" t="str">
        <f>IF('Trade Log'!I46="","",'Trade Log'!I46)</f>
        <v/>
      </c>
      <c r="J30" s="69"/>
      <c r="K30" s="71" t="s">
        <v>29</v>
      </c>
      <c r="L30" s="65" t="str">
        <f>IF('Trade Log'!I71="","",'Trade Log'!I71)</f>
        <v/>
      </c>
      <c r="M30" s="69"/>
      <c r="N30" s="71" t="s">
        <v>29</v>
      </c>
      <c r="O30" s="65" t="str">
        <f>IF('Trade Log'!I96="","",'Trade Log'!I96)</f>
        <v/>
      </c>
    </row>
    <row r="37" spans="8:8" x14ac:dyDescent="0.25">
      <c r="H37" t="s">
        <v>30</v>
      </c>
    </row>
  </sheetData>
  <pageMargins left="0.7" right="0.7" top="0.75" bottom="0.75" header="0.3" footer="0.3"/>
  <pageSetup orientation="portrait" horizont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 Log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BSD Enterprises</dc:creator>
  <cp:lastModifiedBy>Anthony Zoppi</cp:lastModifiedBy>
  <dcterms:created xsi:type="dcterms:W3CDTF">2012-05-31T16:29:20Z</dcterms:created>
  <dcterms:modified xsi:type="dcterms:W3CDTF">2026-01-22T17:00:42Z</dcterms:modified>
</cp:coreProperties>
</file>