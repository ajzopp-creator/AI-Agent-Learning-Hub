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der\AI-Agent-Learning-Hub\projects\P_300_Vantage_Point_Pattern_Recognition\docs\"/>
    </mc:Choice>
  </mc:AlternateContent>
  <xr:revisionPtr revIDLastSave="0" documentId="13_ncr:1_{D6074920-395D-41A0-9915-13001779A318}" xr6:coauthVersionLast="47" xr6:coauthVersionMax="47" xr10:uidLastSave="{00000000-0000-0000-0000-000000000000}"/>
  <bookViews>
    <workbookView xWindow="2240" yWindow="2240" windowWidth="19200" windowHeight="11170" activeTab="1" xr2:uid="{4B84C4CD-1013-4577-A020-15A622522EE3}"/>
  </bookViews>
  <sheets>
    <sheet name="Claude Log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1" l="1"/>
  <c r="F22" i="1"/>
  <c r="F21" i="1"/>
  <c r="F20" i="1"/>
  <c r="F19" i="1"/>
  <c r="F18" i="1"/>
  <c r="F17" i="1"/>
  <c r="F16" i="1"/>
  <c r="F15" i="1"/>
  <c r="F14" i="1"/>
  <c r="F13" i="1"/>
  <c r="F12" i="1"/>
  <c r="F4" i="1"/>
  <c r="F5" i="1"/>
  <c r="F6" i="1"/>
  <c r="F7" i="1"/>
  <c r="F8" i="1"/>
  <c r="F9" i="1"/>
  <c r="F10" i="1"/>
  <c r="F11" i="1"/>
  <c r="H8" i="1"/>
  <c r="H5" i="1"/>
  <c r="H6" i="1"/>
  <c r="H7" i="1"/>
  <c r="H9" i="1"/>
  <c r="H10" i="1"/>
  <c r="H11" i="1"/>
  <c r="H12" i="1"/>
  <c r="H14" i="1"/>
  <c r="H15" i="1"/>
  <c r="H16" i="1"/>
  <c r="H17" i="1"/>
  <c r="H18" i="1"/>
  <c r="H19" i="1"/>
  <c r="H20" i="1"/>
  <c r="H21" i="1"/>
  <c r="H22" i="1"/>
  <c r="H4" i="1"/>
</calcChain>
</file>

<file path=xl/sharedStrings.xml><?xml version="1.0" encoding="utf-8"?>
<sst xmlns="http://schemas.openxmlformats.org/spreadsheetml/2006/main" count="109" uniqueCount="92">
  <si>
    <t>Tab-delimited; paste into Excel and it'll split into columns clean.</t>
  </si>
  <si>
    <t>Empty columns are for you to fill in as you capture: VP's actual launch date, Y when captured, pattern_instance_id when ingested.</t>
  </si>
  <si>
    <t>Turn #</t>
  </si>
  <si>
    <t>Date</t>
  </si>
  <si>
    <t>User Request</t>
  </si>
  <si>
    <t>Action Taken</t>
  </si>
  <si>
    <t>Details</t>
  </si>
  <si>
    <t>Outcome</t>
  </si>
  <si>
    <t>#</t>
  </si>
  <si>
    <t>Symbol</t>
  </si>
  <si>
    <t>Sector</t>
  </si>
  <si>
    <t>Cap</t>
  </si>
  <si>
    <t>Target Date</t>
  </si>
  <si>
    <t>VP Launch</t>
  </si>
  <si>
    <t>Captured</t>
  </si>
  <si>
    <t>Ingested</t>
  </si>
  <si>
    <t>Slot Rationale</t>
  </si>
  <si>
    <t>CAT</t>
  </si>
  <si>
    <t>Industrials</t>
  </si>
  <si>
    <t>Large</t>
  </si>
  <si>
    <t>Heavy machinery post-tariff bounce</t>
  </si>
  <si>
    <t>TTD</t>
  </si>
  <si>
    <t>Adtech</t>
  </si>
  <si>
    <t>Mid</t>
  </si>
  <si>
    <t>Pre-collapse adtech (likely loser)</t>
  </si>
  <si>
    <t>AMD</t>
  </si>
  <si>
    <t>Semis</t>
  </si>
  <si>
    <t>Mid-2025 AI rally</t>
  </si>
  <si>
    <t>LMT</t>
  </si>
  <si>
    <t>NATO defense-spending narrative</t>
  </si>
  <si>
    <t>Pharma</t>
  </si>
  <si>
    <t>MU</t>
  </si>
  <si>
    <t>Semi memory</t>
  </si>
  <si>
    <t>HBM demand peak</t>
  </si>
  <si>
    <t>SHOP</t>
  </si>
  <si>
    <t>E-commerce</t>
  </si>
  <si>
    <t>E-commerce momentum</t>
  </si>
  <si>
    <t>NKE</t>
  </si>
  <si>
    <t>Consumer disc</t>
  </si>
  <si>
    <t>Premium consumer weakness from tariffs (likely loser)</t>
  </si>
  <si>
    <t>GEV</t>
  </si>
  <si>
    <t>Power infra</t>
  </si>
  <si>
    <t>Data-center power thesis</t>
  </si>
  <si>
    <t>DIS</t>
  </si>
  <si>
    <t>Media</t>
  </si>
  <si>
    <t>Streaming/parks challenges (mixed/loser)</t>
  </si>
  <si>
    <t>PLTR</t>
  </si>
  <si>
    <t>AI deployment phase, volatile</t>
  </si>
  <si>
    <t>META</t>
  </si>
  <si>
    <t>Comm svcs</t>
  </si>
  <si>
    <t>Mega</t>
  </si>
  <si>
    <t>Post-Q3 earnings (mixed)</t>
  </si>
  <si>
    <t>DE</t>
  </si>
  <si>
    <t>Farm equip</t>
  </si>
  <si>
    <t>Ag-equipment rebound</t>
  </si>
  <si>
    <t>GOOGL</t>
  </si>
  <si>
    <t>Year-end tech run</t>
  </si>
  <si>
    <t>XOM</t>
  </si>
  <si>
    <t>Energy</t>
  </si>
  <si>
    <t>Energy rotation start</t>
  </si>
  <si>
    <t>GS</t>
  </si>
  <si>
    <t>Financials</t>
  </si>
  <si>
    <t>Wall St earnings vs banking rotation (mixed)</t>
  </si>
  <si>
    <t>CVX</t>
  </si>
  <si>
    <t>Energy continued</t>
  </si>
  <si>
    <t>WMT</t>
  </si>
  <si>
    <t>Consumer staples</t>
  </si>
  <si>
    <t>Defensive rotation</t>
  </si>
  <si>
    <t>Defense</t>
  </si>
  <si>
    <t>AI SaaS</t>
  </si>
  <si>
    <t>Format Sheet1 properly — raw data was tab/space-delimited text crammed into column A.</t>
  </si>
  <si>
    <t>Parsed delimited text into 9 columns, applied table formatting, fixed 2 mis-parsed rows.</t>
  </si>
  <si>
    <t>Split A3:A22 on 2+ spaces into columns A-I (#, Symbol, Sector, Cap, Target Date, VP Launch, Captured, Ingested, Slot Rationale). Manually fixed rows 7 (LMT) and 14 (PLTR) where single-word sector caused mis-alignment. Converted A3:I22 to Excel Table 'TradeQueue' with TableStyleMedium2, banded rows. Date columns formatted yyyy-mm-dd. Header row blue fill white bold; symbols bold; rationale wrapped. Column widths tuned per content.</t>
  </si>
  <si>
    <t>Sheet1 now a clean 9-column tracker; columns F/G/H (VP Launch, Captured, Ingested) empty awaiting user entry.</t>
  </si>
  <si>
    <t>Calculate VP Launch as 20 market days after Target Date; set Captured to 2026-05-18.</t>
  </si>
  <si>
    <t>Added WORKDAY formulas in F4:F22 and static Captured date in G4:G22.</t>
  </si>
  <si>
    <t>F4=WORKDAY(E4,20) filled down via autoFill to F22. G4:G22 = 2026-05-18 (Excel serial 46160). Both columns formatted yyyy-mm-dd. WORKDAY uses default Sat/Sun weekend, no holiday list provided.</t>
  </si>
  <si>
    <t>VP Launch dates calculated (e.g., CAT 2025-06-25 → 2025-07-23). Captured column now stamped.</t>
  </si>
  <si>
    <t>Generate pattern_instance_id for each row in Ingested column (H).</t>
  </si>
  <si>
    <t>Added formula in H4:H22 building 'Pattern_&lt;TargetDate&gt;_&lt;Captured&gt;_&lt;Symbol&gt;'.</t>
  </si>
  <si>
    <t>H4 = "Pattern_"&amp;TEXT(E4,"yyyymmdd")&amp;"_"&amp;TEXT(G4,"yyyymmdd")&amp;"_"&amp;B4, autofilled to H22. Formula-driven so IDs update if dates/symbols change. Verified 19 unique values.</t>
  </si>
  <si>
    <t>H4=Pattern_20250625_20260518_CAT through H22=Pattern_20260310_20260518_LLY.</t>
  </si>
  <si>
    <t>Resize columns to fit cell contents.</t>
  </si>
  <si>
    <t>Autofit columns A:I on Sheet1.</t>
  </si>
  <si>
    <t>Used range.format.autofitColumns() on A:I. Replaces the manual widths set earlier.</t>
  </si>
  <si>
    <t>All columns now sized to content.</t>
  </si>
  <si>
    <t>NVO</t>
  </si>
  <si>
    <t>GLP-1 share loss to LLY + Wegovy weakness (clear loser)</t>
  </si>
  <si>
    <t>GLP</t>
  </si>
  <si>
    <t>Midstream MLP</t>
  </si>
  <si>
    <t>Small</t>
  </si>
  <si>
    <t>rate-sensitive yield / rotation drag (sub for LLY — healthcare blocked in VP)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</si>
</sst>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0"/>
      <color rgb="FF595959"/>
      <name val="Aptos Narrow"/>
      <family val="2"/>
      <scheme val="minor"/>
    </font>
    <font>
      <strike/>
      <sz val="11"/>
      <color theme="1"/>
      <name val="Calibri"/>
      <family val="2"/>
    </font>
    <font>
      <b/>
      <strike/>
      <sz val="11"/>
      <color theme="1"/>
      <name val="Calibri"/>
      <family val="2"/>
    </font>
    <font>
      <strike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49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 wrapText="1"/>
    </xf>
    <xf numFmtId="0" fontId="8" fillId="0" borderId="0" xfId="0" applyFont="1"/>
    <xf numFmtId="14" fontId="6" fillId="0" borderId="0" xfId="0" applyNumberFormat="1" applyFont="1" applyAlignment="1">
      <alignment horizontal="center"/>
    </xf>
    <xf numFmtId="14" fontId="8" fillId="0" borderId="0" xfId="0" applyNumberFormat="1" applyFont="1"/>
  </cellXfs>
  <cellStyles count="1">
    <cellStyle name="Normal" xfId="0" builtinId="0"/>
  </cellStyles>
  <dxfs count="11">
    <dxf>
      <font>
        <sz val="11"/>
        <name val="Calibri"/>
      </font>
      <numFmt numFmtId="164" formatCode="yyyy\-mm\-dd"/>
      <alignment horizontal="center"/>
    </dxf>
    <dxf>
      <font>
        <sz val="11"/>
        <name val="Calibri"/>
      </font>
      <alignment horizontal="left" wrapText="1"/>
    </dxf>
    <dxf>
      <font>
        <sz val="11"/>
        <name val="Calibri"/>
      </font>
      <numFmt numFmtId="30" formatCode="@"/>
      <alignment horizontal="center"/>
    </dxf>
    <dxf>
      <font>
        <sz val="11"/>
        <name val="Calibri"/>
      </font>
      <numFmt numFmtId="164" formatCode="yyyy\-mm\-dd"/>
      <alignment horizontal="center"/>
    </dxf>
    <dxf>
      <font>
        <sz val="11"/>
        <name val="Calibri"/>
      </font>
      <numFmt numFmtId="164" formatCode="yyyy\-mm\-dd"/>
      <alignment horizontal="center"/>
    </dxf>
    <dxf>
      <font>
        <sz val="11"/>
        <name val="Calibri"/>
      </font>
      <alignment horizontal="center"/>
    </dxf>
    <dxf>
      <font>
        <sz val="11"/>
        <name val="Calibri"/>
      </font>
    </dxf>
    <dxf>
      <font>
        <b/>
        <sz val="11"/>
        <name val="Calibri"/>
      </font>
      <alignment horizontal="center"/>
    </dxf>
    <dxf>
      <font>
        <sz val="11"/>
        <name val="Calibri"/>
      </font>
      <alignment horizontal="center"/>
    </dxf>
    <dxf>
      <font>
        <sz val="11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305496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21BF59-8FC9-4514-8275-A9AA06265CE7}" name="TradeQueue" displayName="TradeQueue" ref="A3:I22" totalsRowShown="0" headerRowDxfId="10" dataDxfId="9">
  <autoFilter ref="A3:I22" xr:uid="{8B21BF59-8FC9-4514-8275-A9AA06265CE7}"/>
  <tableColumns count="9">
    <tableColumn id="1" xr3:uid="{3DBCB6C2-382B-42C4-83E2-2D93ABFDE417}" name="#" dataDxfId="8"/>
    <tableColumn id="2" xr3:uid="{46EBB422-1A7C-4DBF-9029-CCDF5662AB42}" name="Symbol" dataDxfId="7"/>
    <tableColumn id="3" xr3:uid="{ECBD2DC9-73D2-4BEB-AB96-0F572FF5D054}" name="Sector" dataDxfId="6"/>
    <tableColumn id="4" xr3:uid="{8D7F156D-BC1E-4C42-888A-F437AD1ED09A}" name="Cap" dataDxfId="5"/>
    <tableColumn id="5" xr3:uid="{BDB32634-98A1-47E9-BEED-0D83A25FDDE5}" name="Target Date" dataDxfId="4"/>
    <tableColumn id="6" xr3:uid="{E8338B87-5E58-4D39-BA73-8AEDFD0F70B8}" name="VP Launch" dataDxfId="0">
      <calculatedColumnFormula>WORKDAY(E4,-21)</calculatedColumnFormula>
    </tableColumn>
    <tableColumn id="7" xr3:uid="{30830232-218C-42A4-B9B8-CDAC3EC8ADD2}" name="Captured" dataDxfId="3"/>
    <tableColumn id="8" xr3:uid="{27F0C1B9-BF54-47A3-A2A2-CF839D5D6239}" name="Ingested" dataDxfId="2">
      <calculatedColumnFormula>"Pattern_"&amp;TEXT(E4,"yyyymmdd")&amp;"_"&amp;TEXT(G4,"yyyymmdd")&amp;"_"&amp;B4</calculatedColumnFormula>
    </tableColumn>
    <tableColumn id="9" xr3:uid="{872EE60F-34CA-4FB1-93CA-8A69D5EE1B74}" name="Slot Rationa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93C748-DCB4-4F36-A5A3-A82250B86B8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6453d3e-1d03-48a9-9170-506256bff85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B51D9-02DD-413A-A684-95306B35A0E1}">
  <dimension ref="A1:F5"/>
  <sheetViews>
    <sheetView workbookViewId="0"/>
  </sheetViews>
  <sheetFormatPr defaultRowHeight="14.5" x14ac:dyDescent="0.35"/>
  <sheetData>
    <row r="1" spans="1:6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5">
      <c r="A2">
        <v>1</v>
      </c>
      <c r="B2" s="2">
        <v>46160</v>
      </c>
      <c r="C2" t="s">
        <v>70</v>
      </c>
      <c r="D2" t="s">
        <v>71</v>
      </c>
      <c r="E2" t="s">
        <v>72</v>
      </c>
      <c r="F2" t="s">
        <v>73</v>
      </c>
    </row>
    <row r="3" spans="1:6" x14ac:dyDescent="0.35">
      <c r="A3">
        <v>2</v>
      </c>
      <c r="B3" s="2">
        <v>46160</v>
      </c>
      <c r="C3" t="s">
        <v>74</v>
      </c>
      <c r="D3" t="s">
        <v>75</v>
      </c>
      <c r="E3" t="s">
        <v>76</v>
      </c>
      <c r="F3" t="s">
        <v>77</v>
      </c>
    </row>
    <row r="4" spans="1:6" x14ac:dyDescent="0.35">
      <c r="A4">
        <v>3</v>
      </c>
      <c r="B4" s="2">
        <v>46160</v>
      </c>
      <c r="C4" t="s">
        <v>78</v>
      </c>
      <c r="D4" t="s">
        <v>79</v>
      </c>
      <c r="E4" t="s">
        <v>80</v>
      </c>
      <c r="F4" t="s">
        <v>81</v>
      </c>
    </row>
    <row r="5" spans="1:6" x14ac:dyDescent="0.35">
      <c r="A5">
        <v>4</v>
      </c>
      <c r="B5" s="2">
        <v>46160</v>
      </c>
      <c r="C5" t="s">
        <v>82</v>
      </c>
      <c r="D5" t="s">
        <v>83</v>
      </c>
      <c r="E5" t="s">
        <v>84</v>
      </c>
      <c r="F5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3769-53F8-440A-9B28-6ACA1C135CBC}">
  <dimension ref="A1:I23"/>
  <sheetViews>
    <sheetView tabSelected="1" topLeftCell="A10" workbookViewId="0">
      <selection activeCell="A19" sqref="A19:XFD22"/>
    </sheetView>
  </sheetViews>
  <sheetFormatPr defaultRowHeight="14.5" x14ac:dyDescent="0.35"/>
  <cols>
    <col min="1" max="1" width="6.7265625" bestFit="1" customWidth="1"/>
    <col min="2" max="2" width="11.453125" bestFit="1" customWidth="1"/>
    <col min="3" max="3" width="15.7265625" bestFit="1" customWidth="1"/>
    <col min="4" max="4" width="8.54296875" bestFit="1" customWidth="1"/>
    <col min="5" max="5" width="15.1796875" bestFit="1" customWidth="1"/>
    <col min="6" max="6" width="14" bestFit="1" customWidth="1"/>
    <col min="7" max="7" width="13.1796875" bestFit="1" customWidth="1"/>
    <col min="8" max="8" width="32.453125" bestFit="1" customWidth="1"/>
    <col min="9" max="9" width="46.81640625" bestFit="1" customWidth="1"/>
  </cols>
  <sheetData>
    <row r="1" spans="1:9" ht="169.5" x14ac:dyDescent="0.35">
      <c r="A1" s="10" t="s">
        <v>0</v>
      </c>
    </row>
    <row r="3" spans="1:9" x14ac:dyDescent="0.3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8" t="s">
        <v>16</v>
      </c>
    </row>
    <row r="4" spans="1:9" ht="22" customHeight="1" x14ac:dyDescent="0.35">
      <c r="A4" s="12">
        <v>1</v>
      </c>
      <c r="B4" s="13" t="s">
        <v>17</v>
      </c>
      <c r="C4" s="14" t="s">
        <v>18</v>
      </c>
      <c r="D4" s="12" t="s">
        <v>19</v>
      </c>
      <c r="E4" s="15">
        <v>45833</v>
      </c>
      <c r="F4" s="15">
        <f t="shared" ref="F4:F22" si="0">WORKDAY(E4,-21)</f>
        <v>45804</v>
      </c>
      <c r="G4" s="15">
        <v>46160</v>
      </c>
      <c r="H4" s="16" t="str">
        <f t="shared" ref="H4:H22" si="1">"Pattern_"&amp;TEXT(E4,"yyyymmdd")&amp;"_"&amp;TEXT(G4,"yyyymmdd")&amp;"_"&amp;B4</f>
        <v>Pattern_20250625_20260518_CAT</v>
      </c>
      <c r="I4" s="17" t="s">
        <v>20</v>
      </c>
    </row>
    <row r="5" spans="1:9" s="18" customFormat="1" ht="22" customHeight="1" x14ac:dyDescent="0.35">
      <c r="A5" s="12">
        <v>2</v>
      </c>
      <c r="B5" s="13" t="s">
        <v>21</v>
      </c>
      <c r="C5" s="14" t="s">
        <v>22</v>
      </c>
      <c r="D5" s="12" t="s">
        <v>23</v>
      </c>
      <c r="E5" s="15">
        <v>45848</v>
      </c>
      <c r="F5" s="15">
        <f t="shared" si="0"/>
        <v>45819</v>
      </c>
      <c r="G5" s="15">
        <v>46160</v>
      </c>
      <c r="H5" s="16" t="str">
        <f t="shared" si="1"/>
        <v>Pattern_20250710_20260518_TTD</v>
      </c>
      <c r="I5" s="17" t="s">
        <v>24</v>
      </c>
    </row>
    <row r="6" spans="1:9" s="18" customFormat="1" ht="22" customHeight="1" x14ac:dyDescent="0.35">
      <c r="A6" s="12">
        <v>3</v>
      </c>
      <c r="B6" s="13" t="s">
        <v>25</v>
      </c>
      <c r="C6" s="14" t="s">
        <v>26</v>
      </c>
      <c r="D6" s="12" t="s">
        <v>19</v>
      </c>
      <c r="E6" s="15">
        <v>45859</v>
      </c>
      <c r="F6" s="15">
        <f t="shared" si="0"/>
        <v>45828</v>
      </c>
      <c r="G6" s="15">
        <v>46160</v>
      </c>
      <c r="H6" s="16" t="str">
        <f t="shared" si="1"/>
        <v>Pattern_20250721_20260518_AMD</v>
      </c>
      <c r="I6" s="17" t="s">
        <v>27</v>
      </c>
    </row>
    <row r="7" spans="1:9" s="18" customFormat="1" ht="22" customHeight="1" x14ac:dyDescent="0.35">
      <c r="A7" s="12">
        <v>4</v>
      </c>
      <c r="B7" s="13" t="s">
        <v>28</v>
      </c>
      <c r="C7" s="14" t="s">
        <v>68</v>
      </c>
      <c r="D7" s="19" t="s">
        <v>19</v>
      </c>
      <c r="E7" s="15">
        <v>45874</v>
      </c>
      <c r="F7" s="15">
        <f t="shared" si="0"/>
        <v>45845</v>
      </c>
      <c r="G7" s="15">
        <v>46160</v>
      </c>
      <c r="H7" s="16" t="str">
        <f t="shared" si="1"/>
        <v>Pattern_20250805_20260518_LMT</v>
      </c>
      <c r="I7" s="17" t="s">
        <v>29</v>
      </c>
    </row>
    <row r="8" spans="1:9" s="18" customFormat="1" ht="29" x14ac:dyDescent="0.35">
      <c r="A8" s="12">
        <v>5</v>
      </c>
      <c r="B8" s="13" t="s">
        <v>86</v>
      </c>
      <c r="C8" s="14" t="s">
        <v>30</v>
      </c>
      <c r="D8" s="12" t="s">
        <v>50</v>
      </c>
      <c r="E8" s="15">
        <v>45881</v>
      </c>
      <c r="F8" s="15">
        <f t="shared" si="0"/>
        <v>45852</v>
      </c>
      <c r="G8" s="15">
        <v>46160</v>
      </c>
      <c r="H8" s="16" t="str">
        <f>"Pattern_"&amp;TEXT(E8,"yyyymmdd")&amp;"_"&amp;TEXT(G8,"yyyymmdd")&amp;"_"&amp;B8</f>
        <v>Pattern_20250812_20260518_NVO</v>
      </c>
      <c r="I8" s="17" t="s">
        <v>87</v>
      </c>
    </row>
    <row r="9" spans="1:9" s="18" customFormat="1" ht="22" customHeight="1" x14ac:dyDescent="0.35">
      <c r="A9" s="12">
        <v>6</v>
      </c>
      <c r="B9" s="13" t="s">
        <v>31</v>
      </c>
      <c r="C9" s="14" t="s">
        <v>32</v>
      </c>
      <c r="D9" s="12" t="s">
        <v>19</v>
      </c>
      <c r="E9" s="15">
        <v>45884</v>
      </c>
      <c r="F9" s="15">
        <f t="shared" si="0"/>
        <v>45855</v>
      </c>
      <c r="G9" s="15">
        <v>46160</v>
      </c>
      <c r="H9" s="16" t="str">
        <f t="shared" si="1"/>
        <v>Pattern_20250815_20260518_MU</v>
      </c>
      <c r="I9" s="17" t="s">
        <v>33</v>
      </c>
    </row>
    <row r="10" spans="1:9" s="18" customFormat="1" ht="22" customHeight="1" x14ac:dyDescent="0.35">
      <c r="A10" s="12">
        <v>7</v>
      </c>
      <c r="B10" s="13" t="s">
        <v>34</v>
      </c>
      <c r="C10" s="14" t="s">
        <v>35</v>
      </c>
      <c r="D10" s="12" t="s">
        <v>19</v>
      </c>
      <c r="E10" s="15">
        <v>45894</v>
      </c>
      <c r="F10" s="15">
        <f t="shared" si="0"/>
        <v>45863</v>
      </c>
      <c r="G10" s="15">
        <v>46160</v>
      </c>
      <c r="H10" s="16" t="str">
        <f t="shared" si="1"/>
        <v>Pattern_20250825_20260518_SHOP</v>
      </c>
      <c r="I10" s="17" t="s">
        <v>36</v>
      </c>
    </row>
    <row r="11" spans="1:9" s="18" customFormat="1" ht="22" customHeight="1" x14ac:dyDescent="0.35">
      <c r="A11" s="12">
        <v>8</v>
      </c>
      <c r="B11" s="13" t="s">
        <v>37</v>
      </c>
      <c r="C11" s="14" t="s">
        <v>38</v>
      </c>
      <c r="D11" s="12" t="s">
        <v>19</v>
      </c>
      <c r="E11" s="15">
        <v>45915</v>
      </c>
      <c r="F11" s="15">
        <f t="shared" si="0"/>
        <v>45884</v>
      </c>
      <c r="G11" s="15">
        <v>46160</v>
      </c>
      <c r="H11" s="16" t="str">
        <f t="shared" si="1"/>
        <v>Pattern_20250915_20260518_NKE</v>
      </c>
      <c r="I11" s="17" t="s">
        <v>39</v>
      </c>
    </row>
    <row r="12" spans="1:9" ht="22" customHeight="1" x14ac:dyDescent="0.35">
      <c r="A12" s="12">
        <v>9</v>
      </c>
      <c r="B12" s="5" t="s">
        <v>40</v>
      </c>
      <c r="C12" s="6" t="s">
        <v>41</v>
      </c>
      <c r="D12" s="4" t="s">
        <v>19</v>
      </c>
      <c r="E12" s="7">
        <v>45925</v>
      </c>
      <c r="F12" s="7">
        <f t="shared" si="0"/>
        <v>45896</v>
      </c>
      <c r="G12" s="7">
        <v>46160</v>
      </c>
      <c r="H12" s="11" t="str">
        <f t="shared" si="1"/>
        <v>Pattern_20250925_20260518_GEV</v>
      </c>
      <c r="I12" s="9" t="s">
        <v>42</v>
      </c>
    </row>
    <row r="13" spans="1:9" s="18" customFormat="1" ht="22" customHeight="1" x14ac:dyDescent="0.35">
      <c r="A13" s="12">
        <v>10</v>
      </c>
      <c r="B13" s="13" t="s">
        <v>43</v>
      </c>
      <c r="C13" s="14" t="s">
        <v>44</v>
      </c>
      <c r="D13" s="12" t="s">
        <v>19</v>
      </c>
      <c r="E13" s="15">
        <v>45945</v>
      </c>
      <c r="F13" s="15">
        <f t="shared" si="0"/>
        <v>45916</v>
      </c>
      <c r="G13" s="15">
        <v>46160</v>
      </c>
      <c r="H13" s="16" t="str">
        <f t="shared" si="1"/>
        <v>Pattern_20251015_20260518_DIS</v>
      </c>
      <c r="I13" s="17" t="s">
        <v>45</v>
      </c>
    </row>
    <row r="14" spans="1:9" s="18" customFormat="1" ht="22" customHeight="1" x14ac:dyDescent="0.35">
      <c r="A14" s="12">
        <v>11</v>
      </c>
      <c r="B14" s="13" t="s">
        <v>46</v>
      </c>
      <c r="C14" s="14" t="s">
        <v>69</v>
      </c>
      <c r="D14" s="19" t="s">
        <v>19</v>
      </c>
      <c r="E14" s="15">
        <v>45953</v>
      </c>
      <c r="F14" s="15">
        <f t="shared" si="0"/>
        <v>45924</v>
      </c>
      <c r="G14" s="15">
        <v>46160</v>
      </c>
      <c r="H14" s="16" t="str">
        <f t="shared" si="1"/>
        <v>Pattern_20251023_20260518_PLTR</v>
      </c>
      <c r="I14" s="17" t="s">
        <v>47</v>
      </c>
    </row>
    <row r="15" spans="1:9" s="18" customFormat="1" ht="22" customHeight="1" x14ac:dyDescent="0.35">
      <c r="A15" s="12">
        <v>12</v>
      </c>
      <c r="B15" s="13" t="s">
        <v>48</v>
      </c>
      <c r="C15" s="14" t="s">
        <v>49</v>
      </c>
      <c r="D15" s="12" t="s">
        <v>50</v>
      </c>
      <c r="E15" s="15">
        <v>45966</v>
      </c>
      <c r="F15" s="15">
        <f t="shared" si="0"/>
        <v>45937</v>
      </c>
      <c r="G15" s="15">
        <v>46160</v>
      </c>
      <c r="H15" s="16" t="str">
        <f t="shared" si="1"/>
        <v>Pattern_20251105_20260518_META</v>
      </c>
      <c r="I15" s="17" t="s">
        <v>51</v>
      </c>
    </row>
    <row r="16" spans="1:9" s="18" customFormat="1" ht="22" customHeight="1" x14ac:dyDescent="0.35">
      <c r="A16" s="12">
        <v>13</v>
      </c>
      <c r="B16" s="13" t="s">
        <v>52</v>
      </c>
      <c r="C16" s="14" t="s">
        <v>53</v>
      </c>
      <c r="D16" s="12" t="s">
        <v>19</v>
      </c>
      <c r="E16" s="15">
        <v>45981</v>
      </c>
      <c r="F16" s="15">
        <f t="shared" si="0"/>
        <v>45952</v>
      </c>
      <c r="G16" s="15">
        <v>46160</v>
      </c>
      <c r="H16" s="16" t="str">
        <f t="shared" si="1"/>
        <v>Pattern_20251120_20260518_DE</v>
      </c>
      <c r="I16" s="17" t="s">
        <v>54</v>
      </c>
    </row>
    <row r="17" spans="1:9" s="18" customFormat="1" ht="22" customHeight="1" x14ac:dyDescent="0.35">
      <c r="A17" s="12">
        <v>14</v>
      </c>
      <c r="B17" s="13" t="s">
        <v>55</v>
      </c>
      <c r="C17" s="14" t="s">
        <v>49</v>
      </c>
      <c r="D17" s="12" t="s">
        <v>50</v>
      </c>
      <c r="E17" s="15">
        <v>46003</v>
      </c>
      <c r="F17" s="15">
        <f t="shared" si="0"/>
        <v>45974</v>
      </c>
      <c r="G17" s="15">
        <v>46160</v>
      </c>
      <c r="H17" s="16" t="str">
        <f t="shared" si="1"/>
        <v>Pattern_20251212_20260518_GOOGL</v>
      </c>
      <c r="I17" s="17" t="s">
        <v>56</v>
      </c>
    </row>
    <row r="18" spans="1:9" s="18" customFormat="1" ht="22" customHeight="1" x14ac:dyDescent="0.35">
      <c r="A18" s="12">
        <v>15</v>
      </c>
      <c r="B18" s="13" t="s">
        <v>57</v>
      </c>
      <c r="C18" s="14" t="s">
        <v>58</v>
      </c>
      <c r="D18" s="12" t="s">
        <v>50</v>
      </c>
      <c r="E18" s="15">
        <v>46037</v>
      </c>
      <c r="F18" s="15">
        <f t="shared" si="0"/>
        <v>46008</v>
      </c>
      <c r="G18" s="15">
        <v>46160</v>
      </c>
      <c r="H18" s="16" t="str">
        <f t="shared" si="1"/>
        <v>Pattern_20260115_20260518_XOM</v>
      </c>
      <c r="I18" s="17" t="s">
        <v>59</v>
      </c>
    </row>
    <row r="19" spans="1:9" s="18" customFormat="1" ht="22" customHeight="1" x14ac:dyDescent="0.35">
      <c r="A19" s="12">
        <v>16</v>
      </c>
      <c r="B19" s="13" t="s">
        <v>60</v>
      </c>
      <c r="C19" s="14" t="s">
        <v>61</v>
      </c>
      <c r="D19" s="12" t="s">
        <v>19</v>
      </c>
      <c r="E19" s="15">
        <v>46044</v>
      </c>
      <c r="F19" s="15">
        <f t="shared" si="0"/>
        <v>46015</v>
      </c>
      <c r="G19" s="15">
        <v>46160</v>
      </c>
      <c r="H19" s="16" t="str">
        <f t="shared" si="1"/>
        <v>Pattern_20260122_20260518_GS</v>
      </c>
      <c r="I19" s="17" t="s">
        <v>62</v>
      </c>
    </row>
    <row r="20" spans="1:9" s="18" customFormat="1" ht="22" customHeight="1" x14ac:dyDescent="0.35">
      <c r="A20" s="12">
        <v>17</v>
      </c>
      <c r="B20" s="13" t="s">
        <v>63</v>
      </c>
      <c r="C20" s="14" t="s">
        <v>58</v>
      </c>
      <c r="D20" s="12" t="s">
        <v>50</v>
      </c>
      <c r="E20" s="15">
        <v>46063</v>
      </c>
      <c r="F20" s="15">
        <f t="shared" si="0"/>
        <v>46034</v>
      </c>
      <c r="G20" s="15">
        <v>46160</v>
      </c>
      <c r="H20" s="16" t="str">
        <f t="shared" si="1"/>
        <v>Pattern_20260210_20260518_CVX</v>
      </c>
      <c r="I20" s="17" t="s">
        <v>64</v>
      </c>
    </row>
    <row r="21" spans="1:9" s="18" customFormat="1" ht="22" customHeight="1" x14ac:dyDescent="0.35">
      <c r="A21" s="12">
        <v>18</v>
      </c>
      <c r="B21" s="13" t="s">
        <v>65</v>
      </c>
      <c r="C21" s="14" t="s">
        <v>66</v>
      </c>
      <c r="D21" s="12" t="s">
        <v>50</v>
      </c>
      <c r="E21" s="15">
        <v>46078</v>
      </c>
      <c r="F21" s="15">
        <f t="shared" si="0"/>
        <v>46049</v>
      </c>
      <c r="G21" s="15">
        <v>46160</v>
      </c>
      <c r="H21" s="16" t="str">
        <f t="shared" si="1"/>
        <v>Pattern_20260225_20260518_WMT</v>
      </c>
      <c r="I21" s="17" t="s">
        <v>67</v>
      </c>
    </row>
    <row r="22" spans="1:9" s="18" customFormat="1" ht="22" customHeight="1" x14ac:dyDescent="0.35">
      <c r="A22" s="12">
        <v>19</v>
      </c>
      <c r="B22" s="13" t="s">
        <v>88</v>
      </c>
      <c r="C22" s="18" t="s">
        <v>89</v>
      </c>
      <c r="D22" s="12" t="s">
        <v>90</v>
      </c>
      <c r="E22" s="20">
        <v>46091</v>
      </c>
      <c r="F22" s="15">
        <f t="shared" si="0"/>
        <v>46062</v>
      </c>
      <c r="G22" s="15">
        <v>46160</v>
      </c>
      <c r="H22" s="16" t="str">
        <f t="shared" si="1"/>
        <v>Pattern_20260310_20260518_GLP</v>
      </c>
      <c r="I22" s="18" t="s">
        <v>91</v>
      </c>
    </row>
    <row r="23" spans="1:9" ht="260.5" x14ac:dyDescent="0.35">
      <c r="A23" s="10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Claude 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Zoppi</dc:creator>
  <cp:lastModifiedBy>Anthony Zoppi</cp:lastModifiedBy>
  <dcterms:created xsi:type="dcterms:W3CDTF">2026-05-18T21:11:18Z</dcterms:created>
  <dcterms:modified xsi:type="dcterms:W3CDTF">2026-05-19T15:05:37Z</dcterms:modified>
</cp:coreProperties>
</file>