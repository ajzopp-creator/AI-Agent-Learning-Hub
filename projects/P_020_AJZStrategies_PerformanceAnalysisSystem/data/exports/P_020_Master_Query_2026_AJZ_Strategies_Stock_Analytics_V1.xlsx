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er\AI-Agent-Learning-Hub\projects\P_020_AJZStrategies_PerformanceAnalysisSystem\data\exports\"/>
    </mc:Choice>
  </mc:AlternateContent>
  <xr:revisionPtr revIDLastSave="0" documentId="13_ncr:1_{1D00F8CE-CAD8-4251-9C11-4811C7B520B3}" xr6:coauthVersionLast="47" xr6:coauthVersionMax="47" xr10:uidLastSave="{00000000-0000-0000-0000-000000000000}"/>
  <bookViews>
    <workbookView minimized="1" xWindow="1560" yWindow="1560" windowWidth="21600" windowHeight="11175" activeTab="2" xr2:uid="{00000000-000D-0000-FFFF-FFFF00000000}"/>
  </bookViews>
  <sheets>
    <sheet name="Claude Log" sheetId="1" r:id="rId1"/>
    <sheet name="Trade Log" sheetId="2" r:id="rId2"/>
    <sheet name="Dashboard" sheetId="3" r:id="rId3"/>
  </sheets>
  <definedNames>
    <definedName name="ExternalData_1" localSheetId="1" hidden="1">'Trade Log'!$A$1:$A$2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3" l="1"/>
  <c r="L30" i="3"/>
  <c r="I30" i="3"/>
  <c r="F30" i="3"/>
  <c r="C30" i="3"/>
  <c r="O29" i="3"/>
  <c r="L29" i="3"/>
  <c r="I29" i="3"/>
  <c r="F29" i="3"/>
  <c r="C29" i="3"/>
  <c r="O23" i="3"/>
  <c r="L23" i="3"/>
  <c r="I23" i="3"/>
  <c r="F23" i="3"/>
  <c r="C21" i="3"/>
  <c r="O16" i="3"/>
  <c r="L16" i="3"/>
  <c r="I16" i="3"/>
  <c r="F16" i="3"/>
  <c r="C16" i="3"/>
  <c r="O15" i="3"/>
  <c r="O17" i="3" s="1"/>
  <c r="L15" i="3"/>
  <c r="L17" i="3" s="1"/>
  <c r="I15" i="3"/>
  <c r="I17" i="3" s="1"/>
  <c r="F15" i="3"/>
  <c r="F17" i="3" s="1"/>
  <c r="C15" i="3"/>
  <c r="C17" i="3" s="1"/>
  <c r="O6" i="3"/>
  <c r="L6" i="3"/>
  <c r="I6" i="3"/>
  <c r="F6" i="3"/>
  <c r="C6" i="3"/>
  <c r="O5" i="3"/>
  <c r="L5" i="3"/>
  <c r="I5" i="3"/>
  <c r="F5" i="3"/>
  <c r="C5" i="3"/>
  <c r="O10" i="3" l="1"/>
  <c r="O26" i="3"/>
  <c r="O8" i="3"/>
  <c r="O24" i="3"/>
  <c r="L10" i="3"/>
  <c r="L8" i="3"/>
  <c r="L26" i="3"/>
  <c r="L24" i="3"/>
  <c r="I24" i="3"/>
  <c r="C24" i="3" s="1"/>
  <c r="I10" i="3"/>
  <c r="I8" i="3"/>
  <c r="I26" i="3"/>
  <c r="F26" i="3"/>
  <c r="F24" i="3"/>
  <c r="F10" i="3"/>
  <c r="F8" i="3"/>
  <c r="C8" i="3"/>
  <c r="C26" i="3"/>
  <c r="C20" i="3"/>
  <c r="O11" i="3"/>
  <c r="O12" i="3" s="1"/>
  <c r="O13" i="3" s="1"/>
  <c r="O9" i="3"/>
  <c r="O7" i="3"/>
  <c r="O4" i="3"/>
  <c r="L4" i="3"/>
  <c r="L9" i="3"/>
  <c r="L11" i="3"/>
  <c r="L7" i="3"/>
  <c r="I7" i="3"/>
  <c r="I9" i="3"/>
  <c r="I11" i="3"/>
  <c r="I4" i="3"/>
  <c r="F9" i="3"/>
  <c r="F25" i="3"/>
  <c r="F7" i="3"/>
  <c r="F11" i="3"/>
  <c r="F12" i="3" s="1"/>
  <c r="F13" i="3" s="1"/>
  <c r="F4" i="3"/>
  <c r="C10" i="3"/>
  <c r="C7" i="3"/>
  <c r="C9" i="3"/>
  <c r="C25" i="3"/>
  <c r="C11" i="3"/>
  <c r="C4" i="3"/>
  <c r="I12" i="3" l="1"/>
  <c r="I13" i="3" s="1"/>
  <c r="O28" i="3"/>
  <c r="O25" i="3"/>
  <c r="O27" i="3"/>
  <c r="L28" i="3"/>
  <c r="L25" i="3"/>
  <c r="L27" i="3"/>
  <c r="I25" i="3"/>
  <c r="I28" i="3"/>
  <c r="I27" i="3"/>
  <c r="F28" i="3"/>
  <c r="F27" i="3"/>
  <c r="C28" i="3"/>
  <c r="C27" i="3"/>
  <c r="L12" i="3"/>
  <c r="L13" i="3" s="1"/>
  <c r="C12" i="3"/>
  <c r="C1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F601A6-9227-4EAD-94F8-9AC1710E9392}" keepAlive="1" name="Connection" type="5" refreshedVersion="0" saveData="1">
    <dbPr connection="Provider=Microsoft.Mashup.OleDb.1;Data Source=$Workbook$;Location=StocksData;Extended Properties=" commandType="0"/>
  </connection>
</connections>
</file>

<file path=xl/sharedStrings.xml><?xml version="1.0" encoding="utf-8"?>
<sst xmlns="http://schemas.openxmlformats.org/spreadsheetml/2006/main" count="134" uniqueCount="37">
  <si>
    <t>Cumulative Results</t>
  </si>
  <si>
    <t>Trades 1-25</t>
  </si>
  <si>
    <t>Trades 26-50</t>
  </si>
  <si>
    <t>Trades 51-75</t>
  </si>
  <si>
    <t>Trades 76-100</t>
  </si>
  <si>
    <t># of Trades</t>
  </si>
  <si>
    <t># of Winners</t>
  </si>
  <si>
    <t># of Losers</t>
  </si>
  <si>
    <t>% Winners</t>
  </si>
  <si>
    <t>% Losers</t>
  </si>
  <si>
    <t>Avg. $ Win</t>
  </si>
  <si>
    <t>Avg. $ Loss</t>
  </si>
  <si>
    <t>R-to-R Ratio</t>
  </si>
  <si>
    <t>Expectancy %</t>
  </si>
  <si>
    <t>Kelly %</t>
  </si>
  <si>
    <t>Net Gains</t>
  </si>
  <si>
    <t>Net Losses</t>
  </si>
  <si>
    <t>Net Profit/Loss</t>
  </si>
  <si>
    <t>Contextual Info:</t>
  </si>
  <si>
    <t>Beginning Equity</t>
  </si>
  <si>
    <t>Trade Risk %</t>
  </si>
  <si>
    <t>N/A</t>
  </si>
  <si>
    <t>Risk per Trade</t>
  </si>
  <si>
    <t>Loss-to-Risk Ratio</t>
  </si>
  <si>
    <t>Avg. Days in Winners</t>
  </si>
  <si>
    <t>Avg. Days in Losers</t>
  </si>
  <si>
    <t>Days after Scale out</t>
  </si>
  <si>
    <t>Net Return %</t>
  </si>
  <si>
    <t>Beginning Date</t>
  </si>
  <si>
    <t>End Date</t>
  </si>
  <si>
    <t>Turn</t>
  </si>
  <si>
    <t>Date</t>
  </si>
  <si>
    <t>User Request</t>
  </si>
  <si>
    <t>Action Taken</t>
  </si>
  <si>
    <t>Details</t>
  </si>
  <si>
    <t>Outcome</t>
  </si>
  <si>
    <t>ExternalData_1: Getting Data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</si>
</sst>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6" formatCode="&quot;$&quot;#,##0"/>
    <numFmt numFmtId="167" formatCode="m/d/yy;@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472C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4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/>
    <xf numFmtId="0" fontId="3" fillId="0" borderId="3" xfId="0" applyFont="1" applyBorder="1"/>
    <xf numFmtId="0" fontId="3" fillId="0" borderId="0" xfId="0" applyFont="1"/>
    <xf numFmtId="10" fontId="0" fillId="0" borderId="0" xfId="0" applyNumberFormat="1"/>
    <xf numFmtId="10" fontId="3" fillId="0" borderId="3" xfId="0" applyNumberFormat="1" applyFont="1" applyBorder="1"/>
    <xf numFmtId="10" fontId="3" fillId="0" borderId="0" xfId="0" applyNumberFormat="1" applyFont="1"/>
    <xf numFmtId="164" fontId="3" fillId="0" borderId="0" xfId="0" applyNumberFormat="1" applyFont="1"/>
    <xf numFmtId="164" fontId="3" fillId="0" borderId="3" xfId="0" applyNumberFormat="1" applyFont="1" applyBorder="1"/>
    <xf numFmtId="2" fontId="3" fillId="0" borderId="0" xfId="0" applyNumberFormat="1" applyFont="1"/>
    <xf numFmtId="2" fontId="3" fillId="0" borderId="3" xfId="0" applyNumberFormat="1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164" fontId="2" fillId="0" borderId="1" xfId="0" applyNumberFormat="1" applyFont="1" applyBorder="1"/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3" xfId="0" applyBorder="1"/>
    <xf numFmtId="9" fontId="6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3" xfId="0" applyFont="1" applyBorder="1"/>
    <xf numFmtId="166" fontId="6" fillId="0" borderId="4" xfId="0" applyNumberFormat="1" applyFont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8" fontId="6" fillId="2" borderId="7" xfId="0" applyNumberFormat="1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0" xfId="0" applyNumberFormat="1"/>
    <xf numFmtId="167" fontId="6" fillId="0" borderId="3" xfId="0" applyNumberFormat="1" applyFont="1" applyBorder="1"/>
    <xf numFmtId="0" fontId="6" fillId="0" borderId="5" xfId="0" applyFont="1" applyBorder="1"/>
    <xf numFmtId="167" fontId="0" fillId="0" borderId="6" xfId="0" applyNumberFormat="1" applyBorder="1" applyAlignment="1">
      <alignment horizontal="center"/>
    </xf>
    <xf numFmtId="167" fontId="6" fillId="0" borderId="5" xfId="0" applyNumberFormat="1" applyFont="1" applyBorder="1"/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1" xr16:uid="{73383103-4EB0-42F9-94A9-39195C028218}" autoFormatId="0" applyNumberFormats="0" applyBorderFormats="0" applyFontFormats="1" applyPatternFormats="1" applyAlignmentFormats="0" applyWidthHeightFormats="0">
  <queryTableRefresh nextId="2">
    <queryTableFields count="1">
      <queryTableField id="1" name="ExternalData_1: Getting Data ...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54A8D-AFB6-4EAD-819A-883B6B7B065F}" name="StocksData" displayName="StocksData" ref="A1:A2" tableType="queryTable" totalsRowShown="0">
  <autoFilter ref="A1:A2" xr:uid="{3B054A8D-AFB6-4EAD-819A-883B6B7B065F}"/>
  <tableColumns count="1">
    <tableColumn id="1" xr3:uid="{83DD9549-0B43-46BA-BA50-B00E786EA6D1}" uniqueName="1" name="ExternalData_1: Getting Data ...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opLeftCell="A13" workbookViewId="0"/>
  </sheetViews>
  <sheetFormatPr defaultRowHeight="15" x14ac:dyDescent="0.25"/>
  <cols>
    <col min="1" max="1" width="7.5703125" customWidth="1"/>
    <col min="2" max="2" width="15.28515625" customWidth="1"/>
    <col min="3" max="4" width="57.140625" customWidth="1"/>
    <col min="5" max="5" width="95.28515625" customWidth="1"/>
    <col min="6" max="6" width="57.140625" customWidth="1"/>
  </cols>
  <sheetData>
    <row r="1" spans="1:6" x14ac:dyDescent="0.25">
      <c r="A1" s="26" t="s">
        <v>30</v>
      </c>
      <c r="B1" s="26" t="s">
        <v>31</v>
      </c>
      <c r="C1" s="26" t="s">
        <v>32</v>
      </c>
      <c r="D1" s="26" t="s">
        <v>33</v>
      </c>
      <c r="E1" s="26" t="s">
        <v>34</v>
      </c>
      <c r="F1" s="26" t="s">
        <v>35</v>
      </c>
    </row>
    <row r="2" spans="1:6" ht="120" customHeight="1" x14ac:dyDescent="0.25">
      <c r="A2" s="27"/>
      <c r="B2" s="27"/>
      <c r="C2" s="27"/>
      <c r="D2" s="27"/>
      <c r="E2" s="27"/>
      <c r="F2" s="27"/>
    </row>
    <row r="3" spans="1:6" x14ac:dyDescent="0.25">
      <c r="A3" s="27"/>
    </row>
    <row r="4" spans="1:6" ht="18.75" customHeight="1" x14ac:dyDescent="0.25">
      <c r="A4" s="46"/>
      <c r="B4" s="45"/>
      <c r="C4" s="45"/>
      <c r="D4" s="45"/>
      <c r="E4" s="45"/>
      <c r="F4" s="45"/>
    </row>
    <row r="5" spans="1:6" x14ac:dyDescent="0.25">
      <c r="A5" s="27"/>
    </row>
    <row r="6" spans="1:6" ht="30" customHeight="1" x14ac:dyDescent="0.25">
      <c r="A6" s="27"/>
      <c r="B6" s="27"/>
      <c r="C6" s="27"/>
      <c r="D6" s="27"/>
      <c r="E6" s="27"/>
      <c r="F6" s="27"/>
    </row>
    <row r="7" spans="1:6" x14ac:dyDescent="0.25">
      <c r="A7" s="27"/>
      <c r="B7" s="27"/>
      <c r="C7" s="27"/>
      <c r="D7" s="27"/>
      <c r="E7" s="27"/>
      <c r="F7" s="27"/>
    </row>
    <row r="8" spans="1:6" x14ac:dyDescent="0.25">
      <c r="A8" s="27"/>
      <c r="B8" s="27"/>
      <c r="C8" s="27"/>
      <c r="D8" s="27"/>
      <c r="E8" s="27"/>
      <c r="F8" s="27"/>
    </row>
    <row r="9" spans="1:6" ht="15.75" customHeight="1" x14ac:dyDescent="0.25">
      <c r="A9" s="46"/>
      <c r="B9" s="45"/>
      <c r="C9" s="45"/>
      <c r="D9" s="45"/>
      <c r="E9" s="45"/>
      <c r="F9" s="45"/>
    </row>
    <row r="10" spans="1:6" ht="30" customHeight="1" x14ac:dyDescent="0.25">
      <c r="A10" s="27"/>
      <c r="B10" s="27"/>
      <c r="C10" s="27"/>
      <c r="D10" s="27"/>
      <c r="E10" s="27"/>
      <c r="F10" s="27"/>
    </row>
    <row r="11" spans="1:6" x14ac:dyDescent="0.25">
      <c r="A11" s="27"/>
    </row>
    <row r="12" spans="1:6" x14ac:dyDescent="0.25">
      <c r="A12" s="27"/>
      <c r="B12" s="27"/>
      <c r="C12" s="27"/>
      <c r="D12" s="27"/>
      <c r="E12" s="27"/>
      <c r="F12" s="27"/>
    </row>
    <row r="13" spans="1:6" ht="45" customHeight="1" x14ac:dyDescent="0.25">
      <c r="A13" s="27"/>
      <c r="B13" s="27"/>
      <c r="C13" s="27"/>
      <c r="D13" s="27"/>
      <c r="E13" s="27"/>
      <c r="F13" s="27"/>
    </row>
    <row r="14" spans="1:6" ht="45" customHeight="1" x14ac:dyDescent="0.25">
      <c r="A14" s="27"/>
    </row>
    <row r="15" spans="1:6" ht="45" customHeight="1" x14ac:dyDescent="0.25"/>
    <row r="16" spans="1:6" ht="45" customHeight="1" x14ac:dyDescent="0.25"/>
    <row r="17" spans="1:6" ht="45" customHeight="1" x14ac:dyDescent="0.25"/>
    <row r="18" spans="1:6" ht="45" customHeight="1" x14ac:dyDescent="0.25"/>
    <row r="19" spans="1:6" ht="45" customHeight="1" x14ac:dyDescent="0.25"/>
    <row r="21" spans="1:6" ht="45" customHeight="1" x14ac:dyDescent="0.25"/>
    <row r="23" spans="1:6" ht="15.75" customHeight="1" x14ac:dyDescent="0.25">
      <c r="A23" s="45"/>
      <c r="B23" s="45"/>
      <c r="C23" s="45"/>
      <c r="D23" s="45"/>
      <c r="E23" s="45"/>
      <c r="F23" s="45"/>
    </row>
    <row r="24" spans="1:6" ht="30" customHeight="1" x14ac:dyDescent="0.25"/>
    <row r="25" spans="1:6" ht="30" customHeight="1" x14ac:dyDescent="0.25"/>
    <row r="26" spans="1:6" ht="30" customHeight="1" x14ac:dyDescent="0.25"/>
    <row r="27" spans="1:6" ht="30" customHeight="1" x14ac:dyDescent="0.25"/>
    <row r="28" spans="1:6" ht="30" customHeight="1" x14ac:dyDescent="0.25"/>
    <row r="29" spans="1:6" ht="30" customHeight="1" x14ac:dyDescent="0.25"/>
    <row r="31" spans="1:6" ht="15.75" customHeight="1" x14ac:dyDescent="0.25">
      <c r="A31" s="45"/>
      <c r="B31" s="45"/>
      <c r="C31" s="45"/>
      <c r="D31" s="45"/>
      <c r="E31" s="45"/>
      <c r="F31" s="45"/>
    </row>
    <row r="33" spans="1:6" ht="30" customHeight="1" x14ac:dyDescent="0.25"/>
    <row r="34" spans="1:6" ht="30" customHeight="1" x14ac:dyDescent="0.25"/>
    <row r="35" spans="1:6" ht="30" customHeight="1" x14ac:dyDescent="0.25"/>
    <row r="36" spans="1:6" ht="30" customHeight="1" x14ac:dyDescent="0.25"/>
    <row r="37" spans="1:6" ht="30" customHeight="1" x14ac:dyDescent="0.25"/>
    <row r="39" spans="1:6" ht="180" customHeight="1" x14ac:dyDescent="0.25"/>
    <row r="41" spans="1:6" ht="15.75" customHeight="1" x14ac:dyDescent="0.25">
      <c r="A41" s="45"/>
      <c r="B41" s="45"/>
      <c r="C41" s="45"/>
      <c r="D41" s="45"/>
      <c r="E41" s="45"/>
      <c r="F41" s="45"/>
    </row>
    <row r="42" spans="1:6" ht="45" customHeight="1" x14ac:dyDescent="0.25"/>
    <row r="43" spans="1:6" ht="30" customHeight="1" x14ac:dyDescent="0.25"/>
    <row r="44" spans="1:6" ht="120" customHeight="1" x14ac:dyDescent="0.25"/>
  </sheetData>
  <mergeCells count="5">
    <mergeCell ref="A41:F41"/>
    <mergeCell ref="A23:F23"/>
    <mergeCell ref="A9:F9"/>
    <mergeCell ref="A31:F31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1"/>
  <sheetViews>
    <sheetView workbookViewId="0">
      <pane ySplit="1" topLeftCell="A8" activePane="bottomLeft" state="frozen"/>
      <selection pane="bottomLeft" activeCell="B31" sqref="B31"/>
    </sheetView>
  </sheetViews>
  <sheetFormatPr defaultColWidth="9.140625" defaultRowHeight="15" x14ac:dyDescent="0.25"/>
  <cols>
    <col min="1" max="1" width="31.42578125" bestFit="1" customWidth="1"/>
    <col min="2" max="2" width="11" customWidth="1"/>
    <col min="3" max="3" width="13" customWidth="1"/>
    <col min="4" max="4" width="12.7109375" customWidth="1"/>
    <col min="5" max="5" width="13" customWidth="1"/>
    <col min="6" max="6" width="10.7109375" customWidth="1"/>
    <col min="7" max="7" width="9.28515625" customWidth="1"/>
    <col min="8" max="8" width="10.28515625" customWidth="1"/>
    <col min="9" max="9" width="11.140625" customWidth="1"/>
    <col min="10" max="10" width="11.42578125" customWidth="1"/>
    <col min="11" max="11" width="9.28515625" customWidth="1"/>
    <col min="12" max="12" width="11.28515625" customWidth="1"/>
    <col min="13" max="13" width="12.140625" customWidth="1"/>
    <col min="14" max="14" width="12.42578125" customWidth="1"/>
    <col min="15" max="15" width="9.42578125" customWidth="1"/>
    <col min="16" max="17" width="12.5703125" customWidth="1"/>
    <col min="18" max="18" width="46" customWidth="1"/>
    <col min="19" max="19" width="10.140625" customWidth="1"/>
    <col min="20" max="20" width="10.140625" bestFit="1" customWidth="1"/>
    <col min="21" max="23" width="11.140625" bestFit="1" customWidth="1"/>
    <col min="24" max="26" width="12.140625" bestFit="1" customWidth="1"/>
    <col min="27" max="30" width="9.140625" customWidth="1"/>
  </cols>
  <sheetData>
    <row r="1" spans="1:1" x14ac:dyDescent="0.25">
      <c r="A1" t="s">
        <v>36</v>
      </c>
    </row>
    <row r="97" ht="18.600000000000001" customHeight="1" x14ac:dyDescent="0.25"/>
    <row r="101" ht="18.75" customHeight="1" x14ac:dyDescent="0.25"/>
  </sheetData>
  <pageMargins left="0.7" right="0.7" top="0.75" bottom="0.75" header="0.3" footer="0.3"/>
  <pageSetup orientation="portrait" horizontalDpi="429496729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tabSelected="1" workbookViewId="0">
      <selection activeCell="O23" sqref="O23"/>
    </sheetView>
  </sheetViews>
  <sheetFormatPr defaultRowHeight="15" x14ac:dyDescent="0.25"/>
  <cols>
    <col min="1" max="1" width="4" customWidth="1"/>
    <col min="2" max="2" width="21.140625" customWidth="1"/>
    <col min="3" max="3" width="15.85546875" style="6" customWidth="1"/>
    <col min="4" max="4" width="3.140625" customWidth="1"/>
    <col min="5" max="5" width="21" customWidth="1"/>
    <col min="6" max="6" width="15.85546875" style="6" customWidth="1"/>
    <col min="7" max="7" width="3.28515625" customWidth="1"/>
    <col min="8" max="8" width="20.140625" customWidth="1"/>
    <col min="9" max="9" width="16.42578125" style="6" customWidth="1"/>
    <col min="10" max="10" width="3.140625" customWidth="1"/>
    <col min="11" max="11" width="20" customWidth="1"/>
    <col min="12" max="12" width="15.85546875" style="6" customWidth="1"/>
    <col min="13" max="13" width="2.7109375" customWidth="1"/>
    <col min="14" max="14" width="20.85546875" customWidth="1"/>
    <col min="15" max="15" width="15.7109375" style="6" customWidth="1"/>
  </cols>
  <sheetData>
    <row r="1" spans="1:15" ht="15.75" customHeight="1" thickBot="1" x14ac:dyDescent="0.3">
      <c r="A1" s="25"/>
    </row>
    <row r="2" spans="1:15" s="7" customFormat="1" ht="18.75" customHeight="1" x14ac:dyDescent="0.3">
      <c r="B2" s="8" t="s">
        <v>0</v>
      </c>
      <c r="C2" s="9"/>
      <c r="D2" s="10"/>
      <c r="E2" s="8" t="s">
        <v>1</v>
      </c>
      <c r="F2" s="9"/>
      <c r="G2" s="10"/>
      <c r="H2" s="8" t="s">
        <v>2</v>
      </c>
      <c r="I2" s="9"/>
      <c r="J2" s="10"/>
      <c r="K2" s="8" t="s">
        <v>3</v>
      </c>
      <c r="L2" s="9"/>
      <c r="M2" s="10"/>
      <c r="N2" s="8" t="s">
        <v>4</v>
      </c>
      <c r="O2" s="9"/>
    </row>
    <row r="3" spans="1:15" ht="18.75" customHeight="1" x14ac:dyDescent="0.3">
      <c r="B3" s="11"/>
      <c r="C3" s="1"/>
      <c r="D3" s="12"/>
      <c r="E3" s="11"/>
      <c r="F3" s="1"/>
      <c r="G3" s="12"/>
      <c r="H3" s="11"/>
      <c r="I3" s="1"/>
      <c r="J3" s="12"/>
      <c r="K3" s="11"/>
      <c r="L3" s="1"/>
      <c r="M3" s="12"/>
      <c r="N3" s="11"/>
      <c r="O3" s="1"/>
    </row>
    <row r="4" spans="1:15" ht="18.75" customHeight="1" x14ac:dyDescent="0.3">
      <c r="B4" s="11" t="s">
        <v>5</v>
      </c>
      <c r="C4" s="1">
        <f>C5+C6</f>
        <v>0</v>
      </c>
      <c r="D4" s="12"/>
      <c r="E4" s="11" t="s">
        <v>5</v>
      </c>
      <c r="F4" s="1">
        <f>F5+F6</f>
        <v>0</v>
      </c>
      <c r="G4" s="12"/>
      <c r="H4" s="11" t="s">
        <v>5</v>
      </c>
      <c r="I4" s="1">
        <f>I5+I6</f>
        <v>0</v>
      </c>
      <c r="J4" s="12"/>
      <c r="K4" s="11" t="s">
        <v>5</v>
      </c>
      <c r="L4" s="1">
        <f>L5+L6</f>
        <v>0</v>
      </c>
      <c r="M4" s="12"/>
      <c r="N4" s="11" t="s">
        <v>5</v>
      </c>
      <c r="O4" s="1">
        <f>O5+O6</f>
        <v>0</v>
      </c>
    </row>
    <row r="5" spans="1:15" ht="18.75" customHeight="1" x14ac:dyDescent="0.3">
      <c r="B5" s="11" t="s">
        <v>6</v>
      </c>
      <c r="C5" s="1">
        <f>COUNTIF('Trade Log'!P2:P101,"&gt;0")</f>
        <v>0</v>
      </c>
      <c r="D5" s="12"/>
      <c r="E5" s="11" t="s">
        <v>6</v>
      </c>
      <c r="F5" s="1">
        <f>COUNTIF('Trade Log'!P2:P26,"&gt;0")</f>
        <v>0</v>
      </c>
      <c r="G5" s="12"/>
      <c r="H5" s="11" t="s">
        <v>6</v>
      </c>
      <c r="I5" s="1">
        <f>COUNTIF('Trade Log'!P27:P51,"&gt;0")</f>
        <v>0</v>
      </c>
      <c r="J5" s="12"/>
      <c r="K5" s="11" t="s">
        <v>6</v>
      </c>
      <c r="L5" s="1">
        <f>COUNTIF('Trade Log'!P52:P76,"&gt;0")</f>
        <v>0</v>
      </c>
      <c r="M5" s="12"/>
      <c r="N5" s="11" t="s">
        <v>6</v>
      </c>
      <c r="O5" s="1">
        <f>COUNTIF('Trade Log'!P77:P101,"&gt;0")</f>
        <v>0</v>
      </c>
    </row>
    <row r="6" spans="1:15" ht="18.75" customHeight="1" x14ac:dyDescent="0.3">
      <c r="B6" s="11" t="s">
        <v>7</v>
      </c>
      <c r="C6" s="1">
        <f>COUNTIF('Trade Log'!P2:P101,"&lt;0")</f>
        <v>0</v>
      </c>
      <c r="D6" s="12"/>
      <c r="E6" s="11" t="s">
        <v>7</v>
      </c>
      <c r="F6" s="1">
        <f>COUNTIF('Trade Log'!P2:P26,"&lt;0")</f>
        <v>0</v>
      </c>
      <c r="G6" s="12"/>
      <c r="H6" s="11" t="s">
        <v>7</v>
      </c>
      <c r="I6" s="1">
        <f>COUNTIF('Trade Log'!P27:P51,"&lt;0")</f>
        <v>0</v>
      </c>
      <c r="J6" s="12"/>
      <c r="K6" s="11" t="s">
        <v>7</v>
      </c>
      <c r="L6" s="1">
        <f>COUNTIF('Trade Log'!P52:P76,"&lt;0")</f>
        <v>0</v>
      </c>
      <c r="M6" s="12"/>
      <c r="N6" s="11" t="s">
        <v>7</v>
      </c>
      <c r="O6" s="1">
        <f>COUNTIF('Trade Log'!P77:P101,"&lt;0")</f>
        <v>0</v>
      </c>
    </row>
    <row r="7" spans="1:15" s="13" customFormat="1" ht="18.75" customHeight="1" x14ac:dyDescent="0.3">
      <c r="B7" s="14" t="s">
        <v>8</v>
      </c>
      <c r="C7" s="2" t="str">
        <f>IF(C5=0,"0",C5/C4)</f>
        <v>0</v>
      </c>
      <c r="D7" s="15"/>
      <c r="E7" s="14" t="s">
        <v>8</v>
      </c>
      <c r="F7" s="2" t="str">
        <f>IF(F5=0,"0",F5/F4)</f>
        <v>0</v>
      </c>
      <c r="G7" s="15"/>
      <c r="H7" s="14" t="s">
        <v>8</v>
      </c>
      <c r="I7" s="2" t="str">
        <f>IF(I5=0,"0",I5/I4)</f>
        <v>0</v>
      </c>
      <c r="J7" s="15"/>
      <c r="K7" s="14" t="s">
        <v>8</v>
      </c>
      <c r="L7" s="2" t="str">
        <f>IF(L5=0,"0",L5/L4)</f>
        <v>0</v>
      </c>
      <c r="M7" s="15"/>
      <c r="N7" s="14" t="s">
        <v>8</v>
      </c>
      <c r="O7" s="2" t="str">
        <f>IF(O5=0,"0",O5/O4)</f>
        <v>0</v>
      </c>
    </row>
    <row r="8" spans="1:15" s="13" customFormat="1" ht="18.75" customHeight="1" x14ac:dyDescent="0.3">
      <c r="B8" s="14" t="s">
        <v>9</v>
      </c>
      <c r="C8" s="2" t="str">
        <f>IF(C6=0,"0",C6/C4)</f>
        <v>0</v>
      </c>
      <c r="D8" s="15"/>
      <c r="E8" s="14" t="s">
        <v>9</v>
      </c>
      <c r="F8" s="2" t="str">
        <f>IF(F6=0,"0",F6/F4)</f>
        <v>0</v>
      </c>
      <c r="G8" s="15"/>
      <c r="H8" s="14" t="s">
        <v>9</v>
      </c>
      <c r="I8" s="2" t="str">
        <f>IF(I6=0,"0",I6/I4)</f>
        <v>0</v>
      </c>
      <c r="J8" s="15"/>
      <c r="K8" s="14" t="s">
        <v>9</v>
      </c>
      <c r="L8" s="2" t="str">
        <f>IF(L6=0,"0",L6/L4)</f>
        <v>0</v>
      </c>
      <c r="M8" s="15"/>
      <c r="N8" s="14" t="s">
        <v>9</v>
      </c>
      <c r="O8" s="2" t="str">
        <f>IF(O6=0,"0",O6/O4)</f>
        <v>0</v>
      </c>
    </row>
    <row r="9" spans="1:15" ht="18.75" customHeight="1" x14ac:dyDescent="0.3">
      <c r="B9" s="11" t="s">
        <v>10</v>
      </c>
      <c r="C9" s="3" t="str">
        <f>IF(C5=0,"0",C15/C5)</f>
        <v>0</v>
      </c>
      <c r="D9" s="16"/>
      <c r="E9" s="17" t="s">
        <v>10</v>
      </c>
      <c r="F9" s="3" t="str">
        <f>IF(F5=0,"0",F15/F5)</f>
        <v>0</v>
      </c>
      <c r="G9" s="16"/>
      <c r="H9" s="17" t="s">
        <v>10</v>
      </c>
      <c r="I9" s="3" t="str">
        <f>IF(I5=0,"0",I15/I5)</f>
        <v>0</v>
      </c>
      <c r="J9" s="16"/>
      <c r="K9" s="17" t="s">
        <v>10</v>
      </c>
      <c r="L9" s="3" t="str">
        <f>IF(L5=0,"0",L15/L5)</f>
        <v>0</v>
      </c>
      <c r="M9" s="16"/>
      <c r="N9" s="17" t="s">
        <v>10</v>
      </c>
      <c r="O9" s="3" t="str">
        <f>IF(O5=0,"0",O15/O5)</f>
        <v>0</v>
      </c>
    </row>
    <row r="10" spans="1:15" ht="18.75" customHeight="1" x14ac:dyDescent="0.3">
      <c r="B10" s="11" t="s">
        <v>11</v>
      </c>
      <c r="C10" s="3" t="str">
        <f>IF(C5=0,"0",C16/C6)</f>
        <v>0</v>
      </c>
      <c r="D10" s="16"/>
      <c r="E10" s="17" t="s">
        <v>11</v>
      </c>
      <c r="F10" s="3" t="str">
        <f>IF(F6=0,"0",F16/F6)</f>
        <v>0</v>
      </c>
      <c r="G10" s="16"/>
      <c r="H10" s="17" t="s">
        <v>11</v>
      </c>
      <c r="I10" s="3" t="str">
        <f>IF(I6=0,"0",I16/I6)</f>
        <v>0</v>
      </c>
      <c r="J10" s="16"/>
      <c r="K10" s="17" t="s">
        <v>11</v>
      </c>
      <c r="L10" s="3" t="str">
        <f>IF(L6=0,"0",L16/L6)</f>
        <v>0</v>
      </c>
      <c r="M10" s="16"/>
      <c r="N10" s="17" t="s">
        <v>11</v>
      </c>
      <c r="O10" s="3" t="str">
        <f>IF(O6=0,"0",O16/O6)</f>
        <v>0</v>
      </c>
    </row>
    <row r="11" spans="1:15" ht="18.75" customHeight="1" x14ac:dyDescent="0.3">
      <c r="B11" s="11" t="s">
        <v>12</v>
      </c>
      <c r="C11" s="4" t="str">
        <f>IF(C5=0,"0",C9/-C10)</f>
        <v>0</v>
      </c>
      <c r="D11" s="18"/>
      <c r="E11" s="19" t="s">
        <v>12</v>
      </c>
      <c r="F11" s="4" t="str">
        <f>IF(F5=0,"0",F9/-F10)</f>
        <v>0</v>
      </c>
      <c r="G11" s="18"/>
      <c r="H11" s="19" t="s">
        <v>12</v>
      </c>
      <c r="I11" s="4" t="str">
        <f>IF(I5=0,"0",I9/-I10)</f>
        <v>0</v>
      </c>
      <c r="J11" s="18"/>
      <c r="K11" s="19" t="s">
        <v>12</v>
      </c>
      <c r="L11" s="4" t="str">
        <f>IF(L5=0,"0",L9/-L10)</f>
        <v>0</v>
      </c>
      <c r="M11" s="18"/>
      <c r="N11" s="19" t="s">
        <v>12</v>
      </c>
      <c r="O11" s="4" t="str">
        <f>IF(O5=0,"0",O9/-O10)</f>
        <v>0</v>
      </c>
    </row>
    <row r="12" spans="1:15" s="13" customFormat="1" ht="18.75" customHeight="1" x14ac:dyDescent="0.3">
      <c r="B12" s="14" t="s">
        <v>13</v>
      </c>
      <c r="C12" s="2">
        <f>(C11*C7)-C8</f>
        <v>0</v>
      </c>
      <c r="D12" s="15"/>
      <c r="E12" s="14" t="s">
        <v>13</v>
      </c>
      <c r="F12" s="2">
        <f>(F11*F7)-F8</f>
        <v>0</v>
      </c>
      <c r="G12" s="15"/>
      <c r="H12" s="14" t="s">
        <v>13</v>
      </c>
      <c r="I12" s="2">
        <f>(I11*I7)-I8</f>
        <v>0</v>
      </c>
      <c r="J12" s="15"/>
      <c r="K12" s="14" t="s">
        <v>13</v>
      </c>
      <c r="L12" s="2">
        <f>(L11*L7)-L8</f>
        <v>0</v>
      </c>
      <c r="M12" s="15"/>
      <c r="N12" s="14" t="s">
        <v>13</v>
      </c>
      <c r="O12" s="2">
        <f>(O11*O7)-O8</f>
        <v>0</v>
      </c>
    </row>
    <row r="13" spans="1:15" s="13" customFormat="1" ht="18.75" customHeight="1" x14ac:dyDescent="0.3">
      <c r="B13" s="14" t="s">
        <v>14</v>
      </c>
      <c r="C13" s="2" t="str">
        <f>IF(C12=0,"0",C7-(C8/C11))</f>
        <v>0</v>
      </c>
      <c r="D13" s="15"/>
      <c r="E13" s="14" t="s">
        <v>14</v>
      </c>
      <c r="F13" s="2" t="str">
        <f>IF(F12=0,"0",F7-(F8/F11))</f>
        <v>0</v>
      </c>
      <c r="G13" s="15"/>
      <c r="H13" s="14" t="s">
        <v>14</v>
      </c>
      <c r="I13" s="2" t="str">
        <f>IF(I12=0,"0",I7-(I8/I11))</f>
        <v>0</v>
      </c>
      <c r="J13" s="15"/>
      <c r="K13" s="14" t="s">
        <v>14</v>
      </c>
      <c r="L13" s="2" t="str">
        <f>IF(L12=0,"0",L7-(L8/L11))</f>
        <v>0</v>
      </c>
      <c r="M13" s="15"/>
      <c r="N13" s="14" t="s">
        <v>14</v>
      </c>
      <c r="O13" s="2" t="str">
        <f>IF(O12=0,"0",O7-(O8/O11))</f>
        <v>0</v>
      </c>
    </row>
    <row r="14" spans="1:15" ht="18.75" customHeight="1" x14ac:dyDescent="0.3">
      <c r="B14" s="11"/>
      <c r="C14" s="1"/>
      <c r="D14" s="12"/>
      <c r="E14" s="11"/>
      <c r="F14" s="1"/>
      <c r="G14" s="12"/>
      <c r="H14" s="11"/>
      <c r="I14" s="1"/>
      <c r="J14" s="12"/>
      <c r="K14" s="11"/>
      <c r="L14" s="1"/>
      <c r="M14" s="12"/>
      <c r="N14" s="11"/>
      <c r="O14" s="1"/>
    </row>
    <row r="15" spans="1:15" ht="18.75" customHeight="1" x14ac:dyDescent="0.3">
      <c r="B15" s="11" t="s">
        <v>15</v>
      </c>
      <c r="C15" s="3">
        <f>SUMIF('Trade Log'!P2:P101,"&gt;0")</f>
        <v>0</v>
      </c>
      <c r="D15" s="16"/>
      <c r="E15" s="17" t="s">
        <v>15</v>
      </c>
      <c r="F15" s="3">
        <f>SUMIF('Trade Log'!P2:P26,"&gt;0")</f>
        <v>0</v>
      </c>
      <c r="G15" s="16"/>
      <c r="H15" s="17" t="s">
        <v>15</v>
      </c>
      <c r="I15" s="3">
        <f>SUMIF('Trade Log'!P27:P51,"&gt;0")</f>
        <v>0</v>
      </c>
      <c r="J15" s="16"/>
      <c r="K15" s="17" t="s">
        <v>15</v>
      </c>
      <c r="L15" s="3">
        <f>SUMIF('Trade Log'!P52:P76,"&gt;0")</f>
        <v>0</v>
      </c>
      <c r="M15" s="16"/>
      <c r="N15" s="17" t="s">
        <v>15</v>
      </c>
      <c r="O15" s="3">
        <f>SUMIF('Trade Log'!P77:P101,"&gt;0")</f>
        <v>0</v>
      </c>
    </row>
    <row r="16" spans="1:15" ht="18.75" customHeight="1" x14ac:dyDescent="0.3">
      <c r="B16" s="11" t="s">
        <v>16</v>
      </c>
      <c r="C16" s="3">
        <f>SUMIF('Trade Log'!P2:P101,"&lt;0")</f>
        <v>0</v>
      </c>
      <c r="D16" s="16"/>
      <c r="E16" s="17" t="s">
        <v>16</v>
      </c>
      <c r="F16" s="3">
        <f>SUMIF('Trade Log'!P2:P26,"&lt;0")</f>
        <v>0</v>
      </c>
      <c r="G16" s="16"/>
      <c r="H16" s="17" t="s">
        <v>16</v>
      </c>
      <c r="I16" s="3">
        <f>SUMIF('Trade Log'!P27:P51,"&lt;0")</f>
        <v>0</v>
      </c>
      <c r="J16" s="16"/>
      <c r="K16" s="17" t="s">
        <v>16</v>
      </c>
      <c r="L16" s="3">
        <f>SUMIF('Trade Log'!P52:P76,"&lt;0")</f>
        <v>0</v>
      </c>
      <c r="M16" s="16"/>
      <c r="N16" s="17" t="s">
        <v>16</v>
      </c>
      <c r="O16" s="3">
        <f>SUMIF('Trade Log'!P77:P101,"&lt;0")</f>
        <v>0</v>
      </c>
    </row>
    <row r="17" spans="2:15" ht="19.5" customHeight="1" thickBot="1" x14ac:dyDescent="0.35">
      <c r="B17" s="20" t="s">
        <v>17</v>
      </c>
      <c r="C17" s="5">
        <f>C15+C16</f>
        <v>0</v>
      </c>
      <c r="D17" s="16"/>
      <c r="E17" s="21" t="s">
        <v>17</v>
      </c>
      <c r="F17" s="5">
        <f>F15+F16</f>
        <v>0</v>
      </c>
      <c r="G17" s="16"/>
      <c r="H17" s="21" t="s">
        <v>17</v>
      </c>
      <c r="I17" s="5">
        <f>I15+I16</f>
        <v>0</v>
      </c>
      <c r="J17" s="16"/>
      <c r="K17" s="21" t="s">
        <v>17</v>
      </c>
      <c r="L17" s="5">
        <f>L15+L16</f>
        <v>0</v>
      </c>
      <c r="M17" s="16"/>
      <c r="N17" s="21" t="s">
        <v>17</v>
      </c>
      <c r="O17" s="5">
        <f>O15+O16</f>
        <v>0</v>
      </c>
    </row>
    <row r="18" spans="2:15" ht="15.75" customHeight="1" thickBot="1" x14ac:dyDescent="0.3">
      <c r="B18" s="22"/>
      <c r="C18" s="23"/>
      <c r="E18" s="22"/>
      <c r="F18" s="23"/>
      <c r="H18" s="22"/>
      <c r="I18" s="23"/>
      <c r="K18" s="22"/>
      <c r="L18" s="23"/>
      <c r="N18" s="22"/>
      <c r="O18" s="23"/>
    </row>
    <row r="19" spans="2:15" ht="18.75" customHeight="1" x14ac:dyDescent="0.3">
      <c r="B19" s="24" t="s">
        <v>18</v>
      </c>
      <c r="C19" s="28"/>
      <c r="E19" s="24" t="s">
        <v>18</v>
      </c>
      <c r="F19" s="28"/>
      <c r="H19" s="24" t="s">
        <v>18</v>
      </c>
      <c r="I19" s="28"/>
      <c r="K19" s="24" t="s">
        <v>18</v>
      </c>
      <c r="L19" s="28"/>
      <c r="N19" s="24" t="s">
        <v>18</v>
      </c>
      <c r="O19" s="28"/>
    </row>
    <row r="20" spans="2:15" ht="15.75" customHeight="1" x14ac:dyDescent="0.25">
      <c r="B20" s="29"/>
      <c r="C20" s="30" t="str">
        <f>IF(C6=0,"",C10/#REF!*-1)</f>
        <v/>
      </c>
      <c r="E20" s="29"/>
      <c r="F20" s="31"/>
      <c r="H20" s="29"/>
      <c r="I20" s="31"/>
      <c r="K20" s="29"/>
      <c r="L20" s="31"/>
      <c r="N20" s="29"/>
      <c r="O20" s="31"/>
    </row>
    <row r="21" spans="2:15" ht="15.75" customHeight="1" x14ac:dyDescent="0.25">
      <c r="B21" s="32" t="s">
        <v>19</v>
      </c>
      <c r="C21" s="33">
        <f>IF(F21="","",F21)</f>
        <v>35000</v>
      </c>
      <c r="E21" s="32" t="s">
        <v>19</v>
      </c>
      <c r="F21" s="34">
        <v>35000</v>
      </c>
      <c r="H21" s="32" t="s">
        <v>19</v>
      </c>
      <c r="I21" s="34"/>
      <c r="K21" s="32" t="s">
        <v>19</v>
      </c>
      <c r="L21" s="34"/>
      <c r="N21" s="32" t="s">
        <v>19</v>
      </c>
      <c r="O21" s="34"/>
    </row>
    <row r="22" spans="2:15" ht="15.75" customHeight="1" x14ac:dyDescent="0.25">
      <c r="B22" s="32" t="s">
        <v>20</v>
      </c>
      <c r="C22" s="35" t="s">
        <v>21</v>
      </c>
      <c r="E22" s="32" t="s">
        <v>20</v>
      </c>
      <c r="F22" s="36">
        <v>1.4999999999999999E-2</v>
      </c>
      <c r="H22" s="32" t="s">
        <v>20</v>
      </c>
      <c r="I22" s="36"/>
      <c r="K22" s="32" t="s">
        <v>20</v>
      </c>
      <c r="L22" s="36"/>
      <c r="N22" s="32" t="s">
        <v>20</v>
      </c>
      <c r="O22" s="36"/>
    </row>
    <row r="23" spans="2:15" ht="15.75" customHeight="1" x14ac:dyDescent="0.25">
      <c r="B23" s="32" t="s">
        <v>22</v>
      </c>
      <c r="C23" s="37" t="s">
        <v>21</v>
      </c>
      <c r="E23" s="32" t="s">
        <v>22</v>
      </c>
      <c r="F23" s="33">
        <f>IF(F21="","",F21*F22)</f>
        <v>525</v>
      </c>
      <c r="H23" s="32" t="s">
        <v>22</v>
      </c>
      <c r="I23" s="33" t="str">
        <f>IF(I21="","",I21*I22)</f>
        <v/>
      </c>
      <c r="K23" s="32" t="s">
        <v>22</v>
      </c>
      <c r="L23" s="33" t="str">
        <f>IF(L21="","",L21*L22)</f>
        <v/>
      </c>
      <c r="N23" s="32" t="s">
        <v>22</v>
      </c>
      <c r="O23" s="33" t="str">
        <f>IF(O21="","",O21*O22)</f>
        <v/>
      </c>
    </row>
    <row r="24" spans="2:15" ht="15.75" customHeight="1" x14ac:dyDescent="0.25">
      <c r="B24" s="32" t="s">
        <v>23</v>
      </c>
      <c r="C24" s="38" t="str">
        <f>IF(I24="",F24,AVERAGE(F24,I24,L24,O24,))</f>
        <v/>
      </c>
      <c r="E24" s="32" t="s">
        <v>23</v>
      </c>
      <c r="F24" s="30" t="str">
        <f>IF(F6=0,"",F10/F23*-1)</f>
        <v/>
      </c>
      <c r="H24" s="32" t="s">
        <v>23</v>
      </c>
      <c r="I24" s="30" t="str">
        <f>IF(I6=0,"",I10/I23*-1)</f>
        <v/>
      </c>
      <c r="K24" s="32" t="s">
        <v>23</v>
      </c>
      <c r="L24" s="30" t="str">
        <f>IF(L6=0,"",L10/L23*-1)</f>
        <v/>
      </c>
      <c r="N24" s="32" t="s">
        <v>23</v>
      </c>
      <c r="O24" s="30" t="str">
        <f>IF(O6=0,"",O10/O23*-1)</f>
        <v/>
      </c>
    </row>
    <row r="25" spans="2:15" ht="15.75" customHeight="1" x14ac:dyDescent="0.25">
      <c r="B25" s="32" t="s">
        <v>24</v>
      </c>
      <c r="C25" s="35" t="str">
        <f>IF(C5=0,"",AVERAGEIF('Trade Log'!P2:P101,"&gt;0",('Trade Log'!J2:J101)))</f>
        <v/>
      </c>
      <c r="E25" s="32" t="s">
        <v>24</v>
      </c>
      <c r="F25" s="35" t="str">
        <f>IF(F5=0,"",AVERAGEIF('Trade Log'!P2:P26,"&gt;0",('Trade Log'!J2:J26)))</f>
        <v/>
      </c>
      <c r="H25" s="32" t="s">
        <v>24</v>
      </c>
      <c r="I25" s="35" t="str">
        <f>IF(I4=0,"",AVERAGEIF('Trade Log'!P26:P51,"&gt;0",('Trade Log'!J26:J51)))</f>
        <v/>
      </c>
      <c r="K25" s="32" t="s">
        <v>24</v>
      </c>
      <c r="L25" s="35" t="str">
        <f>IF(L4=0,"",AVERAGEIF('Trade Log'!P52:P76,"&gt;0",('Trade Log'!J52:J56)))</f>
        <v/>
      </c>
      <c r="N25" s="32" t="s">
        <v>24</v>
      </c>
      <c r="O25" s="35" t="str">
        <f>IF(O4=0,"",AVERAGEIF('Trade Log'!P77:P101,"&gt;0",('Trade Log'!J77:J101)))</f>
        <v/>
      </c>
    </row>
    <row r="26" spans="2:15" ht="15.75" customHeight="1" x14ac:dyDescent="0.25">
      <c r="B26" s="32" t="s">
        <v>25</v>
      </c>
      <c r="C26" s="35" t="str">
        <f>IF(C6=0,"",AVERAGEIF('Trade Log'!P2:P101,"&lt;0",('Trade Log'!J2:J101)))</f>
        <v/>
      </c>
      <c r="E26" s="32" t="s">
        <v>25</v>
      </c>
      <c r="F26" s="35" t="str">
        <f>IF(F6=0,"",AVERAGEIF('Trade Log'!P2:P26,"&lt;0",('Trade Log'!J2:J26)))</f>
        <v/>
      </c>
      <c r="H26" s="32" t="s">
        <v>25</v>
      </c>
      <c r="I26" s="35" t="str">
        <f>IF(I6=0,"",AVERAGEIF('Trade Log'!P26:P51,"&lt;0",('Trade Log'!J26:J51)))</f>
        <v/>
      </c>
      <c r="K26" s="32" t="s">
        <v>25</v>
      </c>
      <c r="L26" s="35" t="str">
        <f>IF(L6=0,"",AVERAGEIF('Trade Log'!P52:P76,"&lt;0",('Trade Log'!J52:J76)))</f>
        <v/>
      </c>
      <c r="N26" s="32" t="s">
        <v>25</v>
      </c>
      <c r="O26" s="35" t="str">
        <f>IF(O6=0,"",AVERAGEIF('Trade Log'!P77:P101,"&lt;0",('Trade Log'!J77:J101)))</f>
        <v/>
      </c>
    </row>
    <row r="27" spans="2:15" ht="15.75" customHeight="1" x14ac:dyDescent="0.25">
      <c r="B27" s="32" t="s">
        <v>26</v>
      </c>
      <c r="C27" s="37" t="str">
        <f>IF(C4=0,"",AVERAGE('Trade Log'!N2:N101))</f>
        <v/>
      </c>
      <c r="E27" s="32" t="s">
        <v>26</v>
      </c>
      <c r="F27" s="37" t="str">
        <f>IF(F4=0,"",AVERAGE('Trade Log'!N2:N27))</f>
        <v/>
      </c>
      <c r="H27" s="32" t="s">
        <v>26</v>
      </c>
      <c r="I27" s="37" t="str">
        <f>IF(I4=0,"",AVERAGE('Trade Log'!N26:N51))</f>
        <v/>
      </c>
      <c r="K27" s="32" t="s">
        <v>26</v>
      </c>
      <c r="L27" s="37" t="str">
        <f>IF(L4=0,"",AVERAGE('Trade Log'!N52:N76))</f>
        <v/>
      </c>
      <c r="N27" s="32" t="s">
        <v>26</v>
      </c>
      <c r="O27" s="37" t="str">
        <f>IF(O4=0,"",AVERAGE('Trade Log'!N77:N101))</f>
        <v/>
      </c>
    </row>
    <row r="28" spans="2:15" ht="15.75" customHeight="1" x14ac:dyDescent="0.25">
      <c r="B28" s="32" t="s">
        <v>27</v>
      </c>
      <c r="C28" s="38" t="str">
        <f>IF(C4=0,"",C17/C21)</f>
        <v/>
      </c>
      <c r="E28" s="32" t="s">
        <v>27</v>
      </c>
      <c r="F28" s="38" t="str">
        <f>IF(F4=0,"",F17/F21)</f>
        <v/>
      </c>
      <c r="H28" s="32" t="s">
        <v>27</v>
      </c>
      <c r="I28" s="38" t="str">
        <f>IF(I4=0,"",I17/I21)</f>
        <v/>
      </c>
      <c r="K28" s="32" t="s">
        <v>27</v>
      </c>
      <c r="L28" s="38" t="str">
        <f>IF(L4=0,"",L17/L21)</f>
        <v/>
      </c>
      <c r="N28" s="32" t="s">
        <v>27</v>
      </c>
      <c r="O28" s="38" t="str">
        <f>IF(O4=0,"",O17/O21)</f>
        <v/>
      </c>
    </row>
    <row r="29" spans="2:15" ht="15.75" customHeight="1" x14ac:dyDescent="0.25">
      <c r="B29" s="32" t="s">
        <v>28</v>
      </c>
      <c r="C29" s="39" t="str">
        <f>IF('Trade Log'!D2="","",'Trade Log'!D2)</f>
        <v/>
      </c>
      <c r="D29" s="40"/>
      <c r="E29" s="41" t="s">
        <v>28</v>
      </c>
      <c r="F29" s="39" t="str">
        <f>IF('Trade Log'!D2="","",'Trade Log'!D2)</f>
        <v/>
      </c>
      <c r="G29" s="40"/>
      <c r="H29" s="41" t="s">
        <v>28</v>
      </c>
      <c r="I29" s="39" t="str">
        <f>IF('Trade Log'!D27="","",'Trade Log'!D27)</f>
        <v/>
      </c>
      <c r="J29" s="40"/>
      <c r="K29" s="41" t="s">
        <v>28</v>
      </c>
      <c r="L29" s="39" t="str">
        <f>IF('Trade Log'!D52="","",'Trade Log'!D52)</f>
        <v/>
      </c>
      <c r="M29" s="40"/>
      <c r="N29" s="41" t="s">
        <v>28</v>
      </c>
      <c r="O29" s="39" t="str">
        <f>IF('Trade Log'!D77="","",'Trade Log'!D77)</f>
        <v/>
      </c>
    </row>
    <row r="30" spans="2:15" ht="16.5" customHeight="1" thickBot="1" x14ac:dyDescent="0.3">
      <c r="B30" s="42" t="s">
        <v>29</v>
      </c>
      <c r="C30" s="43" t="str">
        <f>IF('Trade Log'!I101="","",'Trade Log'!I101)</f>
        <v/>
      </c>
      <c r="D30" s="40"/>
      <c r="E30" s="44" t="s">
        <v>29</v>
      </c>
      <c r="F30" s="43" t="str">
        <f>IF('Trade Log'!I26="","",'Trade Log'!I26)</f>
        <v/>
      </c>
      <c r="G30" s="40"/>
      <c r="H30" s="44" t="s">
        <v>29</v>
      </c>
      <c r="I30" s="43" t="str">
        <f>IF('Trade Log'!I51="","",'Trade Log'!I51)</f>
        <v/>
      </c>
      <c r="J30" s="40"/>
      <c r="K30" s="44" t="s">
        <v>29</v>
      </c>
      <c r="L30" s="43" t="str">
        <f>IF('Trade Log'!I76="","",'Trade Log'!I76)</f>
        <v/>
      </c>
      <c r="M30" s="40"/>
      <c r="N30" s="44" t="s">
        <v>29</v>
      </c>
      <c r="O30" s="43" t="str">
        <f>IF('Trade Log'!I101="","",'Trade Log'!I101)</f>
        <v/>
      </c>
    </row>
  </sheetData>
  <pageMargins left="0.7" right="0.7" top="0.75" bottom="0.75" header="0.3" footer="0.3"/>
  <pageSetup orientation="portrait" horizontalDpi="42949672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576138-344C-44A9-ACA1-E47D5FD98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Log</vt:lpstr>
      <vt:lpstr>Trade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 Enterprises</dc:creator>
  <cp:lastModifiedBy>Anthony Zoppi</cp:lastModifiedBy>
  <dcterms:created xsi:type="dcterms:W3CDTF">2012-05-31T16:29:20Z</dcterms:created>
  <dcterms:modified xsi:type="dcterms:W3CDTF">2026-04-11T17:21:18Z</dcterms:modified>
</cp:coreProperties>
</file>