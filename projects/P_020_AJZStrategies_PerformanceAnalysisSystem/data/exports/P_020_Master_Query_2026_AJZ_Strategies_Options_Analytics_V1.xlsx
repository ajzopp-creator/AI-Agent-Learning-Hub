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er\AI-Agent-Learning-Hub\projects\P_020_AJZStrategies_PerformanceAnalysisSystem\data\exports\"/>
    </mc:Choice>
  </mc:AlternateContent>
  <xr:revisionPtr revIDLastSave="0" documentId="13_ncr:1_{8E8AA3A1-8F8F-43B3-9BC8-D7C51D0406B0}" xr6:coauthVersionLast="47" xr6:coauthVersionMax="47" xr10:uidLastSave="{00000000-0000-0000-0000-000000000000}"/>
  <bookViews>
    <workbookView minimized="1" xWindow="1560" yWindow="1560" windowWidth="21600" windowHeight="11175" xr2:uid="{00000000-000D-0000-FFFF-FFFF00000000}"/>
  </bookViews>
  <sheets>
    <sheet name="Claude Log" sheetId="1" r:id="rId1"/>
    <sheet name="Trade Log 2026" sheetId="2" r:id="rId2"/>
    <sheet name="Dashboard" sheetId="3" r:id="rId3"/>
  </sheets>
  <definedNames>
    <definedName name="ExternalData_1" localSheetId="1" hidden="1">'Trade Log 2026'!$A$1:$A$2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3" l="1"/>
  <c r="L31" i="3"/>
  <c r="I31" i="3"/>
  <c r="F31" i="3"/>
  <c r="C31" i="3"/>
  <c r="O30" i="3"/>
  <c r="L30" i="3"/>
  <c r="I30" i="3"/>
  <c r="F30" i="3"/>
  <c r="C30" i="3"/>
  <c r="O24" i="3"/>
  <c r="L24" i="3"/>
  <c r="I24" i="3"/>
  <c r="F24" i="3"/>
  <c r="C24" i="3"/>
  <c r="C22" i="3"/>
  <c r="O17" i="3"/>
  <c r="L17" i="3"/>
  <c r="I17" i="3"/>
  <c r="F17" i="3"/>
  <c r="C17" i="3"/>
  <c r="O16" i="3"/>
  <c r="O18" i="3" s="1"/>
  <c r="L16" i="3"/>
  <c r="L18" i="3" s="1"/>
  <c r="I16" i="3"/>
  <c r="I18" i="3" s="1"/>
  <c r="F16" i="3"/>
  <c r="C16" i="3"/>
  <c r="O6" i="3"/>
  <c r="L6" i="3"/>
  <c r="I6" i="3"/>
  <c r="F6" i="3"/>
  <c r="C6" i="3"/>
  <c r="O5" i="3"/>
  <c r="L5" i="3"/>
  <c r="I5" i="3"/>
  <c r="F5" i="3"/>
  <c r="C5" i="3"/>
  <c r="L4" i="3"/>
  <c r="I4" i="3" a="1"/>
  <c r="I4" i="3" s="1"/>
  <c r="F4" i="3"/>
  <c r="C4" i="3"/>
  <c r="F19" i="1"/>
  <c r="F17" i="1"/>
  <c r="F16" i="1"/>
  <c r="F15" i="1"/>
  <c r="F18" i="3" l="1"/>
  <c r="C18" i="3"/>
  <c r="O27" i="3"/>
  <c r="O10" i="3"/>
  <c r="O4" i="3"/>
  <c r="O25" i="3"/>
  <c r="O8" i="3"/>
  <c r="L27" i="3"/>
  <c r="L25" i="3"/>
  <c r="L10" i="3"/>
  <c r="L8" i="3"/>
  <c r="I27" i="3"/>
  <c r="I8" i="3"/>
  <c r="I25" i="3"/>
  <c r="I10" i="3"/>
  <c r="F8" i="3"/>
  <c r="F27" i="3"/>
  <c r="F25" i="3"/>
  <c r="C25" i="3" s="1"/>
  <c r="F10" i="3"/>
  <c r="C27" i="3"/>
  <c r="C8" i="3"/>
  <c r="O7" i="3"/>
  <c r="O14" i="3" s="1"/>
  <c r="O11" i="3"/>
  <c r="O12" i="3" s="1"/>
  <c r="O13" i="3" s="1"/>
  <c r="O9" i="3"/>
  <c r="L9" i="3"/>
  <c r="L11" i="3"/>
  <c r="L7" i="3"/>
  <c r="L14" i="3" s="1"/>
  <c r="I9" i="3"/>
  <c r="I11" i="3"/>
  <c r="I7" i="3"/>
  <c r="F9" i="3"/>
  <c r="F11" i="3"/>
  <c r="F7" i="3"/>
  <c r="F26" i="3"/>
  <c r="C10" i="3"/>
  <c r="C11" i="3"/>
  <c r="C9" i="3"/>
  <c r="C26" i="3"/>
  <c r="C7" i="3"/>
  <c r="L29" i="3"/>
  <c r="L26" i="3"/>
  <c r="L28" i="3"/>
  <c r="I26" i="3"/>
  <c r="I28" i="3" a="1"/>
  <c r="I28" i="3" s="1"/>
  <c r="I29" i="3"/>
  <c r="F29" i="3"/>
  <c r="F28" i="3"/>
  <c r="C28" i="3"/>
  <c r="C29" i="3"/>
  <c r="O26" i="3" l="1"/>
  <c r="O28" i="3"/>
  <c r="O29" i="3"/>
  <c r="F14" i="3"/>
  <c r="C14" i="3"/>
  <c r="L12" i="3"/>
  <c r="L13" i="3" s="1"/>
  <c r="I12" i="3"/>
  <c r="I13" i="3" s="1"/>
  <c r="I14" i="3"/>
  <c r="F12" i="3"/>
  <c r="F13" i="3" s="1"/>
  <c r="C12" i="3"/>
  <c r="C1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E12FB8-D466-4AD1-AEC7-5D9C3B5CACE2}" keepAlive="1" name="Connection" type="5" refreshedVersion="0" background="1">
    <dbPr connection="Provider=Microsoft.Mashup.OleDb.1;Data Source=$Workbook$;Location=OptionsData;Extended Properties=" commandType="0"/>
  </connection>
  <connection id="2" xr16:uid="{3BE7ED75-9A48-4095-865F-FE36E902329E}" keepAlive="1" name="Connection1" type="5" refreshedVersion="0" saveData="1">
    <dbPr connection="Provider=Microsoft.Mashup.OleDb.1;Data Source=$Workbook$;Location=OptionsData;Extended Properties=" commandType="0"/>
  </connection>
</connections>
</file>

<file path=xl/sharedStrings.xml><?xml version="1.0" encoding="utf-8"?>
<sst xmlns="http://schemas.openxmlformats.org/spreadsheetml/2006/main" count="237" uniqueCount="129">
  <si>
    <t>Tur+A1:A53</t>
  </si>
  <si>
    <t>Date</t>
  </si>
  <si>
    <t>User Request</t>
  </si>
  <si>
    <t>Action Taken</t>
  </si>
  <si>
    <t>Details</t>
  </si>
  <si>
    <t>Outcome</t>
  </si>
  <si>
    <t>User asked to identify and fix errors in the Dashboard of their Options Trading Log.</t>
  </si>
  <si>
    <t>Found and fixed 5 formula errors (#VALUE! and #DIV/0!) across the Dashboard, plus 4 proactive fixes to prevent future errors.</t>
  </si>
  <si>
    <t>Errors fixed: (1) L14 &amp; O14 Breakeven % — #DIV/0! from dividing text "0" by "0"; wrapped in IF(OR(...)). (2) I25 Loss-to-Risk Ratio — #VALUE! from dividing by empty I24 (no Beginning Equity entered); added OR check for empty/zero. (3) C25 Cumulative Loss-to-Risk — #VALUE! cascading from I25; wrapped in IFERROR. (4) I29 Net Return % — #DIV/0! from empty I22 equity; added OR check. Proactive fixes: L25, L29, O25, O29 to prevent same issues in Trades 51-75 and 76-100 sections.</t>
  </si>
  <si>
    <t>All 5 error cells now return valid values. 4 additional cells proactively hardened. Dashboard is error-free.</t>
  </si>
  <si>
    <t>User asked how to interpret Breakeven % values greater than 100% (172.73%, 177.78%, 150%).</t>
  </si>
  <si>
    <t>Explained the Breakeven % formula (% Losers / % Winners) and what &gt;100% means for their trading.</t>
  </si>
  <si>
    <t>Breakeven % = % Losers / % Winners. Values &gt;100% mean you have more losers than winners. E.g., 172.73% means for every 1 winner there are ~1.73 losers. This is NOT a problem IF the R-to-R ratio compensates — and in this case it does (3.63x cumulative). The key insight: Breakeven % tells you the minimum R-to-R ratio needed to break even.</t>
  </si>
  <si>
    <t>Educational explanation provided. No spreadsheet changes made. User's trading system is profitable despite &gt;100% breakeven because winners are much larger than losers.</t>
  </si>
  <si>
    <t>User asked to save the entire session into a Claude Desktop project.</t>
  </si>
  <si>
    <t>Explained limitation: cannot export files or connect to external apps. Offered 3 workarounds.</t>
  </si>
  <si>
    <t>Suggested: (1) Copy Claude Log sheet contents into a Claude Desktop Project Knowledge file, (2) Copy chat text directly, (3) Save the workbook which already contains the Claude Log.</t>
  </si>
  <si>
    <t>Awaiting user decision on whether to expand the Claude Log for better standalone reference.</t>
  </si>
  <si>
    <t>User confirmed they want the Claude Log expanded for standalone reference.</t>
  </si>
  <si>
    <t>Expanded Claude Log with full session summary: error table with root causes &amp; fixes, Breakeven % interpretation with stats tables, R-to-R analysis, and copy-to-Claude-Desktop instructions.</t>
  </si>
  <si>
    <t>Added: Session Summary header (rows 6-9), Turn 1 detail with 5-row error table (rows 11-22), Turn 2 detail with win/loss stats + R-to-R comparison tables (rows 24-42), Turn 3-4 summary (rows 44-47), Copy instructions (rows 49-53).</t>
  </si>
  <si>
    <t>Claude Log is now a self-contained session reference. User can select A1:F53, copy, and paste into Claude Desktop Project Knowledge.</t>
  </si>
  <si>
    <t>SESSION SUMMARY — Feb 22, 2026</t>
  </si>
  <si>
    <t>File</t>
  </si>
  <si>
    <t>D_020_2026_AJZ_Strategies_Options_Log_V1.xlsx</t>
  </si>
  <si>
    <t>Sheets</t>
  </si>
  <si>
    <t>Trade Log 2026 (30 trades, rows 2-31) | Dashboard (summary stats in 5 sections: Cumulative, Trades 1-25, 26-50, 51-75, 76-100)</t>
  </si>
  <si>
    <t>Turns</t>
  </si>
  <si>
    <t>4 turns total</t>
  </si>
  <si>
    <t>TURN 1: ERROR IDENTIFICATION &amp; FIXES</t>
  </si>
  <si>
    <t>Request:</t>
  </si>
  <si>
    <t>User asked to identify and fix all errors in the Dashboard.</t>
  </si>
  <si>
    <t>Error #</t>
  </si>
  <si>
    <t>Cell</t>
  </si>
  <si>
    <t>Error Type</t>
  </si>
  <si>
    <t>Root Cause</t>
  </si>
  <si>
    <t>Fix Applied</t>
  </si>
  <si>
    <t>Dashboard!L14 (Breakeven %, Trades 51-75)</t>
  </si>
  <si>
    <t>% Winners (L7) and % Losers (L8) return text "0" not numeric 0. "0"/"0" = #DIV/0!</t>
  </si>
  <si>
    <t>Dashboard!O14 (Breakeven %, Trades 76-100)</t>
  </si>
  <si>
    <t>Same as L14 — text "0" division</t>
  </si>
  <si>
    <t>Dashboard!I25 (Loss-to-Risk, Trades 26-50)</t>
  </si>
  <si>
    <t>I22 (Beginning Equity) empty → I24="" → I10/"" = #VALUE!</t>
  </si>
  <si>
    <t>Dashboard!C25 (Cumulative Loss-to-Risk)</t>
  </si>
  <si>
    <t>Cascading: formula compared I25=0% but I25 was #VALUE!</t>
  </si>
  <si>
    <t>Wrapped in IFERROR(...,0)</t>
  </si>
  <si>
    <t>Dashboard!I29 (Net Return %, Trades 26-50)</t>
  </si>
  <si>
    <t>I22 (Beginning Equity) empty → I18/"" = #DIV/0!</t>
  </si>
  <si>
    <t>Proactive Fixes:</t>
  </si>
  <si>
    <t>L25, L29, O25, O29 — Same empty-equity vulnerability in Trades 51-75 and 76-100. Applied identical OR() guards to prevent future #VALUE! and #DIV/0! when those sections populate.</t>
  </si>
  <si>
    <t>User Action:</t>
  </si>
  <si>
    <t>User filled in Beginning Equity ($35,000) and Trade Risk % (1.5%) for I22:I23, L22:L23, O22:O23 after the fix.</t>
  </si>
  <si>
    <t>TURN 2: BREAKEVEN % INTERPRETATION</t>
  </si>
  <si>
    <t>User asked how to interpret Breakeven % values &gt; 100% (displayed as 172.73%, 177.78%, 150%).</t>
  </si>
  <si>
    <t>Formula:</t>
  </si>
  <si>
    <t>Breakeven % = % Losers / % Winners (e.g. C14 = C8/C7)</t>
  </si>
  <si>
    <t>Interpretation:</t>
  </si>
  <si>
    <t>Breakeven % &gt; 100% means you have MORE losing trades than winning trades. Specifically:</t>
  </si>
  <si>
    <t>Section</t>
  </si>
  <si>
    <t>Win Rate</t>
  </si>
  <si>
    <t>Loss Rate</t>
  </si>
  <si>
    <t>Breakeven %</t>
  </si>
  <si>
    <t>Meaning</t>
  </si>
  <si>
    <t>Cumulative (30 trades)</t>
  </si>
  <si>
    <t>36.7% (11W)</t>
  </si>
  <si>
    <t>63.3% (19L)</t>
  </si>
  <si>
    <t>For every 1 winner, ~1.73 losers</t>
  </si>
  <si>
    <t>Trades 1-25</t>
  </si>
  <si>
    <t>36.0% (9W)</t>
  </si>
  <si>
    <t>64.0% (16L)</t>
  </si>
  <si>
    <t>For every 1 winner, ~1.78 losers</t>
  </si>
  <si>
    <t>Trades 26-50 (5 trades)</t>
  </si>
  <si>
    <t>40.0% (2W)</t>
  </si>
  <si>
    <t>60.0% (3L)</t>
  </si>
  <si>
    <t>For every 1 winner, 1.5 losers</t>
  </si>
  <si>
    <t>Key Insight:</t>
  </si>
  <si>
    <t>A high Breakeven % is ONLY a problem if your R-to-R Ratio doesn't compensate. The rule: R-to-R Ratio must exceed Breakeven % for profitability.</t>
  </si>
  <si>
    <t>Avg. Win</t>
  </si>
  <si>
    <t>Avg. Loss</t>
  </si>
  <si>
    <t>R-to-R Ratio</t>
  </si>
  <si>
    <t>vs. Breakeven % → Verdict</t>
  </si>
  <si>
    <t>Cumulative</t>
  </si>
  <si>
    <t>3.63x</t>
  </si>
  <si>
    <t>3.63x &gt; 1.73x → PROFITABLE ✓</t>
  </si>
  <si>
    <t>3.45x</t>
  </si>
  <si>
    <t>3.45x &gt; 1.78x → PROFITABLE ✓</t>
  </si>
  <si>
    <t>Trades 26-50</t>
  </si>
  <si>
    <t>7.65x</t>
  </si>
  <si>
    <t>7.65x &gt; 1.50x → VERY PROFITABLE ✓</t>
  </si>
  <si>
    <t>Conclusion:</t>
  </si>
  <si>
    <t>The trading system wins only ~37% of the time but winners are 3.6x larger than losers. This is a classic "let winners run, cut losers fast" profile. The system has a ~2x safety margin above breakeven.</t>
  </si>
  <si>
    <t>TURN 3-4: SESSION EXPORT REQUEST</t>
  </si>
  <si>
    <t>User wanted to save the session to a Claude Desktop project.</t>
  </si>
  <si>
    <t>Limitation:</t>
  </si>
  <si>
    <t>Excel add-in cannot export files or connect to external apps.</t>
  </si>
  <si>
    <t>Solution:</t>
  </si>
  <si>
    <t>Expanded this Claude Log sheet with full session details so user can copy/paste into Claude Desktop project. The log is self-contained and readable as a standalone reference.</t>
  </si>
  <si>
    <t>Cumulative Results</t>
  </si>
  <si>
    <t>Trades 51-75</t>
  </si>
  <si>
    <t>Trades 76-100</t>
  </si>
  <si>
    <t># of Trades</t>
  </si>
  <si>
    <t># of Winners</t>
  </si>
  <si>
    <t># of Losers</t>
  </si>
  <si>
    <t>% Winners</t>
  </si>
  <si>
    <t>% Losers</t>
  </si>
  <si>
    <t>Avg. $ Win</t>
  </si>
  <si>
    <t>Avg. $ Loss</t>
  </si>
  <si>
    <t>Expectancy %</t>
  </si>
  <si>
    <t>Kelly %</t>
  </si>
  <si>
    <t>Net Gains</t>
  </si>
  <si>
    <t>Net Losses</t>
  </si>
  <si>
    <t>Net Profit/Loss</t>
  </si>
  <si>
    <t>Contextual Info:</t>
  </si>
  <si>
    <t>Beginning Equity</t>
  </si>
  <si>
    <t>Trade Risk %</t>
  </si>
  <si>
    <t>Risk per Trade</t>
  </si>
  <si>
    <t>Loss-to-Risk Ratio</t>
  </si>
  <si>
    <t>Avg. Days in Winners</t>
  </si>
  <si>
    <t>Avg. Days in Losers</t>
  </si>
  <si>
    <t>Days after Scale out</t>
  </si>
  <si>
    <t>Net Return %</t>
  </si>
  <si>
    <t>Beginning Date</t>
  </si>
  <si>
    <t>End Date</t>
  </si>
  <si>
    <t>Edited by Steven Daigle 30Sep2024</t>
  </si>
  <si>
    <t>For the Dashboard to function correctly, one must fill in the gray boxes with their beginning equity and trade risk %.</t>
  </si>
  <si>
    <t>I still need to work on the End Date formula. Everything else has been checked.</t>
  </si>
  <si>
    <t>I am working on a complete narrative to explain what these terms mean and how one should evaluate them to improve ones trading plan.</t>
  </si>
  <si>
    <t>If one finds an error or has a question, please send me a message under members in Circle.</t>
  </si>
  <si>
    <t>ExternalData_1: Getting Data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</si>
</sst>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.00"/>
    <numFmt numFmtId="172" formatCode="&quot;$&quot;#,##0"/>
    <numFmt numFmtId="173" formatCode="0.0%"/>
    <numFmt numFmtId="174" formatCode="m/d/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2F5496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4" xfId="0" applyFont="1" applyBorder="1" applyAlignment="1">
      <alignment horizontal="center"/>
    </xf>
    <xf numFmtId="9" fontId="3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3" xfId="0" applyFont="1" applyBorder="1"/>
    <xf numFmtId="0" fontId="2" fillId="0" borderId="0" xfId="0" applyFont="1"/>
    <xf numFmtId="10" fontId="0" fillId="0" borderId="0" xfId="0" applyNumberFormat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4" fillId="3" borderId="0" xfId="0" applyFont="1" applyFill="1"/>
    <xf numFmtId="14" fontId="0" fillId="0" borderId="0" xfId="0" applyNumberFormat="1"/>
    <xf numFmtId="0" fontId="0" fillId="4" borderId="0" xfId="0" applyFill="1"/>
    <xf numFmtId="0" fontId="5" fillId="4" borderId="0" xfId="0" applyFont="1" applyFill="1"/>
    <xf numFmtId="0" fontId="0" fillId="5" borderId="0" xfId="0" applyFill="1"/>
    <xf numFmtId="0" fontId="1" fillId="5" borderId="0" xfId="0" applyFont="1" applyFill="1"/>
    <xf numFmtId="0" fontId="4" fillId="4" borderId="0" xfId="0" applyFont="1" applyFill="1"/>
    <xf numFmtId="0" fontId="1" fillId="6" borderId="0" xfId="0" applyFont="1" applyFill="1"/>
    <xf numFmtId="0" fontId="0" fillId="6" borderId="0" xfId="0" applyFill="1"/>
    <xf numFmtId="0" fontId="6" fillId="6" borderId="0" xfId="0" applyFont="1" applyFill="1"/>
    <xf numFmtId="8" fontId="0" fillId="0" borderId="0" xfId="0" applyNumberFormat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0" fontId="7" fillId="0" borderId="0" xfId="0" applyFont="1"/>
    <xf numFmtId="10" fontId="2" fillId="0" borderId="3" xfId="0" applyNumberFormat="1" applyFont="1" applyBorder="1"/>
    <xf numFmtId="10" fontId="2" fillId="0" borderId="4" xfId="0" applyNumberFormat="1" applyFont="1" applyBorder="1" applyAlignment="1">
      <alignment horizontal="center"/>
    </xf>
    <xf numFmtId="10" fontId="2" fillId="0" borderId="0" xfId="0" applyNumberFormat="1" applyFont="1"/>
    <xf numFmtId="164" fontId="2" fillId="0" borderId="4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3" xfId="0" applyNumberFormat="1" applyFont="1" applyBorder="1"/>
    <xf numFmtId="2" fontId="2" fillId="0" borderId="4" xfId="0" applyNumberFormat="1" applyFont="1" applyBorder="1" applyAlignment="1">
      <alignment horizontal="center"/>
    </xf>
    <xf numFmtId="2" fontId="2" fillId="0" borderId="0" xfId="0" applyNumberFormat="1" applyFont="1"/>
    <xf numFmtId="2" fontId="2" fillId="0" borderId="3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 applyAlignment="1">
      <alignment horizontal="center"/>
    </xf>
    <xf numFmtId="164" fontId="2" fillId="0" borderId="5" xfId="0" applyNumberFormat="1" applyFont="1" applyBorder="1"/>
    <xf numFmtId="164" fontId="7" fillId="0" borderId="1" xfId="0" applyNumberFormat="1" applyFont="1" applyBorder="1"/>
    <xf numFmtId="0" fontId="0" fillId="0" borderId="2" xfId="0" applyBorder="1" applyAlignment="1">
      <alignment horizontal="center"/>
    </xf>
    <xf numFmtId="0" fontId="3" fillId="0" borderId="3" xfId="0" applyFont="1" applyBorder="1"/>
    <xf numFmtId="172" fontId="3" fillId="0" borderId="4" xfId="0" applyNumberFormat="1" applyFont="1" applyBorder="1" applyAlignment="1">
      <alignment horizontal="center"/>
    </xf>
    <xf numFmtId="172" fontId="3" fillId="7" borderId="7" xfId="0" applyNumberFormat="1" applyFont="1" applyFill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173" fontId="3" fillId="7" borderId="7" xfId="0" applyNumberFormat="1" applyFont="1" applyFill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174" fontId="0" fillId="0" borderId="4" xfId="0" applyNumberFormat="1" applyBorder="1" applyAlignment="1">
      <alignment horizontal="center"/>
    </xf>
    <xf numFmtId="174" fontId="0" fillId="0" borderId="0" xfId="0" applyNumberFormat="1"/>
    <xf numFmtId="174" fontId="3" fillId="0" borderId="3" xfId="0" applyNumberFormat="1" applyFont="1" applyBorder="1"/>
    <xf numFmtId="0" fontId="3" fillId="0" borderId="5" xfId="0" applyFont="1" applyBorder="1"/>
    <xf numFmtId="174" fontId="0" fillId="0" borderId="6" xfId="0" applyNumberFormat="1" applyBorder="1" applyAlignment="1">
      <alignment horizontal="center"/>
    </xf>
    <xf numFmtId="174" fontId="3" fillId="0" borderId="5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intermediate="1" connectionId="2" xr16:uid="{F951BC42-6F23-4932-80FA-430B8A57802E}" autoFormatId="0" applyNumberFormats="0" applyBorderFormats="0" applyFontFormats="1" applyPatternFormats="1" applyAlignmentFormats="0" applyWidthHeightFormats="0">
  <queryTableRefresh nextId="2">
    <queryTableFields count="1">
      <queryTableField id="1" name="ExternalData_1: Getting Data ...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CF2771-A41A-4E9F-A29B-470E1823B24D}" name="OptionsData" displayName="OptionsData" ref="A1:A2" tableType="queryTable" totalsRowShown="0">
  <autoFilter ref="A1:A2" xr:uid="{8CCF2771-A41A-4E9F-A29B-470E1823B24D}"/>
  <tableColumns count="1">
    <tableColumn id="1" xr3:uid="{8F0D4644-D3A5-45AF-8A64-B1D1E1C5954D}" uniqueName="1" name="ExternalData_1: Getting Data ...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="130" zoomScaleNormal="130" workbookViewId="0">
      <selection sqref="A1:XFD1"/>
    </sheetView>
  </sheetViews>
  <sheetFormatPr defaultRowHeight="15" x14ac:dyDescent="0.25"/>
  <cols>
    <col min="1" max="1" width="9.5703125" customWidth="1"/>
    <col min="2" max="2" width="15.28515625" customWidth="1"/>
    <col min="3" max="3" width="66.7109375" customWidth="1"/>
    <col min="4" max="4" width="47.5703125" customWidth="1"/>
    <col min="5" max="5" width="66.7109375" customWidth="1"/>
    <col min="6" max="6" width="57.140625" customWidth="1"/>
  </cols>
  <sheetData>
    <row r="1" spans="1:6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x14ac:dyDescent="0.25">
      <c r="A2">
        <v>1</v>
      </c>
      <c r="B2" s="13">
        <v>46075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2</v>
      </c>
      <c r="B3" s="13">
        <v>46075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5">
      <c r="A4">
        <v>3</v>
      </c>
      <c r="B4" s="13">
        <v>46075</v>
      </c>
      <c r="C4" t="s">
        <v>14</v>
      </c>
      <c r="D4" t="s">
        <v>15</v>
      </c>
      <c r="E4" t="s">
        <v>16</v>
      </c>
      <c r="F4" t="s">
        <v>17</v>
      </c>
    </row>
    <row r="5" spans="1:6" ht="17.25" customHeight="1" x14ac:dyDescent="0.25">
      <c r="A5">
        <v>4</v>
      </c>
      <c r="B5" s="13">
        <v>46075</v>
      </c>
      <c r="C5" t="s">
        <v>18</v>
      </c>
      <c r="D5" t="s">
        <v>19</v>
      </c>
      <c r="E5" t="s">
        <v>20</v>
      </c>
      <c r="F5" t="s">
        <v>21</v>
      </c>
    </row>
    <row r="6" spans="1:6" ht="17.25" customHeight="1" x14ac:dyDescent="0.3">
      <c r="A6" s="14"/>
      <c r="B6" s="15" t="s">
        <v>22</v>
      </c>
      <c r="C6" s="14"/>
      <c r="D6" s="14"/>
      <c r="E6" s="14"/>
      <c r="F6" s="14"/>
    </row>
    <row r="7" spans="1:6" x14ac:dyDescent="0.25">
      <c r="A7" s="16"/>
      <c r="B7" s="17" t="s">
        <v>23</v>
      </c>
      <c r="C7" s="16" t="s">
        <v>24</v>
      </c>
      <c r="D7" s="16"/>
      <c r="E7" s="16"/>
      <c r="F7" s="16"/>
    </row>
    <row r="8" spans="1:6" x14ac:dyDescent="0.25">
      <c r="A8" s="16"/>
      <c r="B8" s="17" t="s">
        <v>25</v>
      </c>
      <c r="C8" s="16" t="s">
        <v>26</v>
      </c>
      <c r="D8" s="16"/>
      <c r="E8" s="16"/>
      <c r="F8" s="16"/>
    </row>
    <row r="9" spans="1:6" x14ac:dyDescent="0.25">
      <c r="A9" s="16"/>
      <c r="B9" s="17" t="s">
        <v>27</v>
      </c>
      <c r="C9" s="16" t="s">
        <v>28</v>
      </c>
      <c r="D9" s="16"/>
      <c r="E9" s="16"/>
      <c r="F9" s="16"/>
    </row>
    <row r="11" spans="1:6" x14ac:dyDescent="0.25">
      <c r="A11" s="14"/>
      <c r="B11" s="18" t="s">
        <v>29</v>
      </c>
      <c r="C11" s="14"/>
      <c r="D11" s="14"/>
      <c r="E11" s="14"/>
      <c r="F11" s="14"/>
    </row>
    <row r="12" spans="1:6" x14ac:dyDescent="0.25">
      <c r="B12" s="17" t="s">
        <v>30</v>
      </c>
      <c r="C12" s="16" t="s">
        <v>31</v>
      </c>
    </row>
    <row r="14" spans="1:6" x14ac:dyDescent="0.25">
      <c r="B14" s="19" t="s">
        <v>32</v>
      </c>
      <c r="C14" s="19" t="s">
        <v>33</v>
      </c>
      <c r="D14" s="19" t="s">
        <v>34</v>
      </c>
      <c r="E14" s="19" t="s">
        <v>35</v>
      </c>
      <c r="F14" s="19" t="s">
        <v>36</v>
      </c>
    </row>
    <row r="15" spans="1:6" x14ac:dyDescent="0.25">
      <c r="B15" s="20">
        <v>1</v>
      </c>
      <c r="C15" s="20" t="s">
        <v>37</v>
      </c>
      <c r="D15" s="20" t="e">
        <v>#DIV/0!</v>
      </c>
      <c r="E15" s="20" t="s">
        <v>38</v>
      </c>
      <c r="F15" s="20">
        <f>IF(OR(L7=0,L7="0"),0,L8/L7)</f>
        <v>0</v>
      </c>
    </row>
    <row r="16" spans="1:6" x14ac:dyDescent="0.25">
      <c r="B16" s="20">
        <v>2</v>
      </c>
      <c r="C16" s="20" t="s">
        <v>39</v>
      </c>
      <c r="D16" s="20" t="e">
        <v>#DIV/0!</v>
      </c>
      <c r="E16" s="20" t="s">
        <v>40</v>
      </c>
      <c r="F16" s="20">
        <f>IF(OR(O7=0,O7="0"),0,O8/O7)</f>
        <v>0</v>
      </c>
    </row>
    <row r="17" spans="1:6" x14ac:dyDescent="0.25">
      <c r="B17" s="20">
        <v>3</v>
      </c>
      <c r="C17" s="20" t="s">
        <v>41</v>
      </c>
      <c r="D17" s="20" t="e">
        <v>#VALUE!</v>
      </c>
      <c r="E17" s="20" t="s">
        <v>42</v>
      </c>
      <c r="F17" s="20">
        <f>IF(OR(I6=0,I24="",I24=0),0,I10/I24*-1)</f>
        <v>0</v>
      </c>
    </row>
    <row r="18" spans="1:6" x14ac:dyDescent="0.25">
      <c r="B18" s="20">
        <v>4</v>
      </c>
      <c r="C18" s="20" t="s">
        <v>43</v>
      </c>
      <c r="D18" s="20" t="e">
        <v>#VALUE!</v>
      </c>
      <c r="E18" s="20" t="s">
        <v>44</v>
      </c>
      <c r="F18" t="s">
        <v>45</v>
      </c>
    </row>
    <row r="19" spans="1:6" x14ac:dyDescent="0.25">
      <c r="B19" s="20">
        <v>5</v>
      </c>
      <c r="C19" s="20" t="s">
        <v>46</v>
      </c>
      <c r="D19" s="20" t="e">
        <v>#DIV/0!</v>
      </c>
      <c r="E19" s="20" t="s">
        <v>47</v>
      </c>
      <c r="F19">
        <f>IF(OR(I4=0,I22="",I22=0),0,I18/I22)</f>
        <v>0</v>
      </c>
    </row>
    <row r="21" spans="1:6" x14ac:dyDescent="0.25">
      <c r="B21" s="4" t="s">
        <v>48</v>
      </c>
      <c r="C21" s="20" t="s">
        <v>49</v>
      </c>
    </row>
    <row r="22" spans="1:6" x14ac:dyDescent="0.25">
      <c r="B22" s="4" t="s">
        <v>50</v>
      </c>
      <c r="C22" s="21" t="s">
        <v>51</v>
      </c>
    </row>
    <row r="24" spans="1:6" x14ac:dyDescent="0.25">
      <c r="A24" s="14"/>
      <c r="B24" s="18" t="s">
        <v>52</v>
      </c>
      <c r="C24" s="14"/>
      <c r="D24" s="14"/>
      <c r="E24" s="14"/>
      <c r="F24" s="14"/>
    </row>
    <row r="25" spans="1:6" x14ac:dyDescent="0.25">
      <c r="B25" s="4" t="s">
        <v>30</v>
      </c>
      <c r="C25" t="s">
        <v>53</v>
      </c>
    </row>
    <row r="27" spans="1:6" x14ac:dyDescent="0.25">
      <c r="B27" s="4" t="s">
        <v>54</v>
      </c>
      <c r="C27" t="s">
        <v>55</v>
      </c>
    </row>
    <row r="29" spans="1:6" x14ac:dyDescent="0.25">
      <c r="B29" s="4" t="s">
        <v>56</v>
      </c>
      <c r="C29" t="s">
        <v>57</v>
      </c>
    </row>
    <row r="30" spans="1:6" x14ac:dyDescent="0.25">
      <c r="B30" s="19" t="s">
        <v>58</v>
      </c>
      <c r="C30" s="19" t="s">
        <v>59</v>
      </c>
      <c r="D30" s="19" t="s">
        <v>60</v>
      </c>
      <c r="E30" s="19" t="s">
        <v>61</v>
      </c>
      <c r="F30" s="19" t="s">
        <v>62</v>
      </c>
    </row>
    <row r="31" spans="1:6" x14ac:dyDescent="0.25">
      <c r="B31" t="s">
        <v>63</v>
      </c>
      <c r="C31" t="s">
        <v>64</v>
      </c>
      <c r="D31" t="s">
        <v>65</v>
      </c>
      <c r="E31" s="7">
        <v>1.7273000000000001</v>
      </c>
      <c r="F31" t="s">
        <v>66</v>
      </c>
    </row>
    <row r="32" spans="1:6" x14ac:dyDescent="0.25">
      <c r="B32" t="s">
        <v>67</v>
      </c>
      <c r="C32" t="s">
        <v>68</v>
      </c>
      <c r="D32" t="s">
        <v>69</v>
      </c>
      <c r="E32" s="7">
        <v>1.7778</v>
      </c>
      <c r="F32" t="s">
        <v>70</v>
      </c>
    </row>
    <row r="33" spans="1:6" x14ac:dyDescent="0.25">
      <c r="B33" t="s">
        <v>71</v>
      </c>
      <c r="C33" t="s">
        <v>72</v>
      </c>
      <c r="D33" t="s">
        <v>73</v>
      </c>
      <c r="E33" s="7">
        <v>1.5</v>
      </c>
      <c r="F33" t="s">
        <v>74</v>
      </c>
    </row>
    <row r="35" spans="1:6" x14ac:dyDescent="0.25">
      <c r="B35" s="4" t="s">
        <v>75</v>
      </c>
      <c r="C35" t="s">
        <v>76</v>
      </c>
    </row>
    <row r="37" spans="1:6" x14ac:dyDescent="0.25">
      <c r="B37" s="19" t="s">
        <v>58</v>
      </c>
      <c r="C37" s="19" t="s">
        <v>77</v>
      </c>
      <c r="D37" s="19" t="s">
        <v>78</v>
      </c>
      <c r="E37" s="19" t="s">
        <v>79</v>
      </c>
      <c r="F37" s="19" t="s">
        <v>80</v>
      </c>
    </row>
    <row r="38" spans="1:6" x14ac:dyDescent="0.25">
      <c r="B38" t="s">
        <v>81</v>
      </c>
      <c r="C38" s="22">
        <v>472.7</v>
      </c>
      <c r="D38" s="22">
        <v>-130.32</v>
      </c>
      <c r="E38" t="s">
        <v>82</v>
      </c>
      <c r="F38" t="s">
        <v>83</v>
      </c>
    </row>
    <row r="39" spans="1:6" x14ac:dyDescent="0.25">
      <c r="B39" t="s">
        <v>67</v>
      </c>
      <c r="C39" s="22">
        <v>507.64</v>
      </c>
      <c r="D39" s="22">
        <v>-147.03</v>
      </c>
      <c r="E39" t="s">
        <v>84</v>
      </c>
      <c r="F39" t="s">
        <v>85</v>
      </c>
    </row>
    <row r="40" spans="1:6" x14ac:dyDescent="0.25">
      <c r="B40" t="s">
        <v>86</v>
      </c>
      <c r="C40" s="22">
        <v>315.5</v>
      </c>
      <c r="D40" s="22">
        <v>-41.22</v>
      </c>
      <c r="E40" t="s">
        <v>87</v>
      </c>
      <c r="F40" t="s">
        <v>88</v>
      </c>
    </row>
    <row r="42" spans="1:6" x14ac:dyDescent="0.25">
      <c r="B42" s="4" t="s">
        <v>89</v>
      </c>
      <c r="C42" t="s">
        <v>90</v>
      </c>
    </row>
    <row r="44" spans="1:6" x14ac:dyDescent="0.25">
      <c r="A44" s="14"/>
      <c r="B44" s="18" t="s">
        <v>91</v>
      </c>
      <c r="C44" s="14"/>
      <c r="D44" s="14"/>
      <c r="E44" s="14"/>
      <c r="F44" s="14"/>
    </row>
    <row r="45" spans="1:6" x14ac:dyDescent="0.25">
      <c r="B45" s="4" t="s">
        <v>30</v>
      </c>
      <c r="C45" t="s">
        <v>92</v>
      </c>
    </row>
    <row r="46" spans="1:6" x14ac:dyDescent="0.25">
      <c r="B46" s="4" t="s">
        <v>93</v>
      </c>
      <c r="C46" t="s">
        <v>94</v>
      </c>
    </row>
    <row r="47" spans="1:6" x14ac:dyDescent="0.25">
      <c r="B47" s="4" t="s">
        <v>95</v>
      </c>
      <c r="C47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3"/>
  <sheetViews>
    <sheetView zoomScaleNormal="100" workbookViewId="0">
      <pane ySplit="1" topLeftCell="A2" activePane="bottomLeft" state="frozen"/>
      <selection pane="bottomLeft" sqref="A1:XFD1"/>
    </sheetView>
  </sheetViews>
  <sheetFormatPr defaultColWidth="9.140625" defaultRowHeight="15" x14ac:dyDescent="0.25"/>
  <cols>
    <col min="1" max="1" width="31.42578125" bestFit="1" customWidth="1"/>
    <col min="2" max="2" width="11" customWidth="1"/>
    <col min="3" max="3" width="13.42578125" customWidth="1"/>
    <col min="4" max="4" width="13.140625" customWidth="1"/>
    <col min="5" max="5" width="11.28515625" customWidth="1"/>
    <col min="6" max="6" width="13.42578125" customWidth="1"/>
    <col min="7" max="7" width="13.140625" customWidth="1"/>
    <col min="8" max="8" width="10.85546875" customWidth="1"/>
    <col min="9" max="9" width="11.5703125" customWidth="1"/>
    <col min="10" max="10" width="10.7109375" customWidth="1"/>
    <col min="11" max="11" width="10.42578125" customWidth="1"/>
    <col min="12" max="13" width="11.28515625" customWidth="1"/>
    <col min="14" max="14" width="10.7109375" customWidth="1"/>
    <col min="15" max="15" width="11.42578125" customWidth="1"/>
    <col min="16" max="17" width="12.28515625" customWidth="1"/>
    <col min="18" max="18" width="10.7109375" customWidth="1"/>
    <col min="19" max="19" width="11.42578125" customWidth="1"/>
    <col min="20" max="21" width="12.28515625" customWidth="1"/>
    <col min="22" max="22" width="10.42578125" customWidth="1"/>
    <col min="23" max="23" width="14.7109375" customWidth="1"/>
    <col min="24" max="24" width="48.7109375" customWidth="1"/>
    <col min="25" max="27" width="14.7109375" customWidth="1"/>
    <col min="28" max="32" width="9.140625" customWidth="1"/>
  </cols>
  <sheetData>
    <row r="1" spans="1:1" x14ac:dyDescent="0.25">
      <c r="A1" t="s">
        <v>128</v>
      </c>
    </row>
    <row r="10" spans="1:1" ht="14.25" customHeight="1" x14ac:dyDescent="0.25"/>
    <row r="102" ht="18.75" customHeight="1" x14ac:dyDescent="0.25"/>
    <row r="103" ht="15.75" customHeight="1" x14ac:dyDescent="0.25"/>
  </sheetData>
  <pageMargins left="0.7" right="0.7" top="0.75" bottom="0.75" header="0.3" footer="0.3"/>
  <pageSetup orientation="portrait" horizontalDpi="429496729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38"/>
  <sheetViews>
    <sheetView topLeftCell="A3" workbookViewId="0">
      <selection activeCell="B14" sqref="B14:I14"/>
    </sheetView>
  </sheetViews>
  <sheetFormatPr defaultRowHeight="15" x14ac:dyDescent="0.25"/>
  <cols>
    <col min="1" max="1" width="4" customWidth="1"/>
    <col min="2" max="2" width="21.140625" customWidth="1"/>
    <col min="3" max="3" width="15.85546875" style="3" customWidth="1"/>
    <col min="4" max="4" width="3.140625" customWidth="1"/>
    <col min="5" max="5" width="21" customWidth="1"/>
    <col min="6" max="6" width="15.85546875" style="3" customWidth="1"/>
    <col min="7" max="7" width="3.28515625" customWidth="1"/>
    <col min="8" max="8" width="20.140625" customWidth="1"/>
    <col min="9" max="9" width="16.42578125" style="3" customWidth="1"/>
    <col min="10" max="10" width="3.140625" customWidth="1"/>
    <col min="11" max="11" width="20" customWidth="1"/>
    <col min="12" max="12" width="15.85546875" style="3" customWidth="1"/>
    <col min="13" max="13" width="2.7109375" customWidth="1"/>
    <col min="14" max="14" width="20.85546875" customWidth="1"/>
    <col min="15" max="15" width="15.7109375" style="3" customWidth="1"/>
  </cols>
  <sheetData>
    <row r="1" spans="2:15" ht="15.75" customHeight="1" thickBot="1" x14ac:dyDescent="0.3"/>
    <row r="2" spans="2:15" s="4" customFormat="1" ht="18.75" customHeight="1" x14ac:dyDescent="0.3">
      <c r="B2" s="23" t="s">
        <v>97</v>
      </c>
      <c r="C2" s="24"/>
      <c r="D2" s="25"/>
      <c r="E2" s="23" t="s">
        <v>67</v>
      </c>
      <c r="F2" s="24"/>
      <c r="G2" s="25"/>
      <c r="H2" s="23" t="s">
        <v>86</v>
      </c>
      <c r="I2" s="24"/>
      <c r="J2" s="25"/>
      <c r="K2" s="23" t="s">
        <v>98</v>
      </c>
      <c r="L2" s="24"/>
      <c r="M2" s="25"/>
      <c r="N2" s="23" t="s">
        <v>99</v>
      </c>
      <c r="O2" s="24"/>
    </row>
    <row r="3" spans="2:15" ht="18.75" customHeight="1" x14ac:dyDescent="0.3">
      <c r="B3" s="5"/>
      <c r="C3" s="1"/>
      <c r="D3" s="6"/>
      <c r="E3" s="5"/>
      <c r="F3" s="1"/>
      <c r="G3" s="6"/>
      <c r="H3" s="5"/>
      <c r="I3" s="1"/>
      <c r="J3" s="6"/>
      <c r="K3" s="5"/>
      <c r="L3" s="1"/>
      <c r="M3" s="6"/>
      <c r="N3" s="5"/>
      <c r="O3" s="1"/>
    </row>
    <row r="4" spans="2:15" ht="18.75" customHeight="1" x14ac:dyDescent="0.3">
      <c r="B4" s="5" t="s">
        <v>100</v>
      </c>
      <c r="C4" s="1">
        <f>C5+C6</f>
        <v>0</v>
      </c>
      <c r="D4" s="6"/>
      <c r="E4" s="5" t="s">
        <v>100</v>
      </c>
      <c r="F4" s="1">
        <f>F5+F6</f>
        <v>0</v>
      </c>
      <c r="G4" s="6"/>
      <c r="H4" s="5" t="s">
        <v>100</v>
      </c>
      <c r="I4" s="1" t="e">
        <f t="array" ref="I4">SUMPRODUCT((ROW(#REF!)-ROW(#REF!)&gt;=26)*(ROW(#REF!)-ROW(#REF!)&lt;=50)*(#REF!&lt;&gt;""))</f>
        <v>#REF!</v>
      </c>
      <c r="J4" s="6"/>
      <c r="K4" s="5" t="s">
        <v>100</v>
      </c>
      <c r="L4" s="1">
        <f>L5+L6</f>
        <v>0</v>
      </c>
      <c r="M4" s="6"/>
      <c r="N4" s="5" t="s">
        <v>100</v>
      </c>
      <c r="O4" s="1">
        <f>O5+O6</f>
        <v>0</v>
      </c>
    </row>
    <row r="5" spans="2:15" ht="18.75" customHeight="1" x14ac:dyDescent="0.3">
      <c r="B5" s="5" t="s">
        <v>101</v>
      </c>
      <c r="C5" s="1">
        <f>COUNTIF('Trade Log 2026'!W2:W101,"&gt;0")</f>
        <v>0</v>
      </c>
      <c r="D5" s="6"/>
      <c r="E5" s="5" t="s">
        <v>101</v>
      </c>
      <c r="F5" s="1">
        <f>COUNTIF('Trade Log 2026'!W2:W26,"&gt;0")</f>
        <v>0</v>
      </c>
      <c r="G5" s="6"/>
      <c r="H5" s="5" t="s">
        <v>101</v>
      </c>
      <c r="I5" s="1">
        <f>COUNTIF('Trade Log 2026'!W27:W51,"&gt;0")</f>
        <v>0</v>
      </c>
      <c r="J5" s="6"/>
      <c r="K5" s="5" t="s">
        <v>101</v>
      </c>
      <c r="L5" s="1">
        <f>COUNTIF('Trade Log 2026'!W52:W76,"&gt;0")</f>
        <v>0</v>
      </c>
      <c r="M5" s="6"/>
      <c r="N5" s="5" t="s">
        <v>101</v>
      </c>
      <c r="O5" s="1">
        <f>COUNTIF('Trade Log 2026'!W77:W101,"&gt;0")</f>
        <v>0</v>
      </c>
    </row>
    <row r="6" spans="2:15" ht="18.75" customHeight="1" x14ac:dyDescent="0.3">
      <c r="B6" s="5" t="s">
        <v>102</v>
      </c>
      <c r="C6" s="1">
        <f>COUNTIF('Trade Log 2026'!W2:W101,"&lt;0")</f>
        <v>0</v>
      </c>
      <c r="D6" s="6"/>
      <c r="E6" s="5" t="s">
        <v>102</v>
      </c>
      <c r="F6" s="1">
        <f>COUNTIF('Trade Log 2026'!W2:W26,"&lt;0")</f>
        <v>0</v>
      </c>
      <c r="G6" s="6"/>
      <c r="H6" s="5" t="s">
        <v>102</v>
      </c>
      <c r="I6" s="1">
        <f>COUNTIF('Trade Log 2026'!W27:W51,"&lt;0")</f>
        <v>0</v>
      </c>
      <c r="J6" s="6"/>
      <c r="K6" s="5" t="s">
        <v>102</v>
      </c>
      <c r="L6" s="1">
        <f>COUNTIF('Trade Log 2026'!W52:W76,"&lt;0")</f>
        <v>0</v>
      </c>
      <c r="M6" s="6"/>
      <c r="N6" s="5" t="s">
        <v>102</v>
      </c>
      <c r="O6" s="1">
        <f>COUNTIF('Trade Log 2026'!W77:W101,"&lt;0")</f>
        <v>0</v>
      </c>
    </row>
    <row r="7" spans="2:15" s="7" customFormat="1" ht="18.75" customHeight="1" x14ac:dyDescent="0.3">
      <c r="B7" s="26" t="s">
        <v>103</v>
      </c>
      <c r="C7" s="27" t="str">
        <f>IF(C5=0,"0",C5/C4)</f>
        <v>0</v>
      </c>
      <c r="D7" s="28"/>
      <c r="E7" s="26" t="s">
        <v>103</v>
      </c>
      <c r="F7" s="27" t="str">
        <f>IF(F5=0,"0",F5/F4)</f>
        <v>0</v>
      </c>
      <c r="G7" s="28"/>
      <c r="H7" s="26" t="s">
        <v>103</v>
      </c>
      <c r="I7" s="27" t="str">
        <f>IF(I5=0,"0",I5/I4)</f>
        <v>0</v>
      </c>
      <c r="J7" s="28"/>
      <c r="K7" s="26" t="s">
        <v>103</v>
      </c>
      <c r="L7" s="27" t="str">
        <f>IF(L5=0,"0",L5/L4)</f>
        <v>0</v>
      </c>
      <c r="M7" s="28"/>
      <c r="N7" s="26" t="s">
        <v>103</v>
      </c>
      <c r="O7" s="27" t="str">
        <f>IF(O5=0,"0",O5/O4)</f>
        <v>0</v>
      </c>
    </row>
    <row r="8" spans="2:15" s="7" customFormat="1" ht="18.75" customHeight="1" x14ac:dyDescent="0.3">
      <c r="B8" s="26" t="s">
        <v>104</v>
      </c>
      <c r="C8" s="27" t="str">
        <f>IF(C6=0,"0",C6/C4)</f>
        <v>0</v>
      </c>
      <c r="D8" s="28"/>
      <c r="E8" s="26" t="s">
        <v>104</v>
      </c>
      <c r="F8" s="27" t="str">
        <f>IF(F6=0,"0",F6/F4)</f>
        <v>0</v>
      </c>
      <c r="G8" s="28"/>
      <c r="H8" s="26" t="s">
        <v>104</v>
      </c>
      <c r="I8" s="27" t="str">
        <f>IF(I6=0,"0",I6/I4)</f>
        <v>0</v>
      </c>
      <c r="J8" s="28"/>
      <c r="K8" s="26" t="s">
        <v>104</v>
      </c>
      <c r="L8" s="27" t="str">
        <f>IF(L6=0,"0",L6/L4)</f>
        <v>0</v>
      </c>
      <c r="M8" s="28"/>
      <c r="N8" s="26" t="s">
        <v>104</v>
      </c>
      <c r="O8" s="27" t="str">
        <f>IF(O6=0,"0",O6/O4)</f>
        <v>0</v>
      </c>
    </row>
    <row r="9" spans="2:15" ht="18.75" customHeight="1" x14ac:dyDescent="0.3">
      <c r="B9" s="5" t="s">
        <v>105</v>
      </c>
      <c r="C9" s="29" t="str">
        <f>IF(C5=0,"0",C16/C5)</f>
        <v>0</v>
      </c>
      <c r="D9" s="30"/>
      <c r="E9" s="31" t="s">
        <v>105</v>
      </c>
      <c r="F9" s="29" t="str">
        <f>IF(F5=0,"0",F16/F5)</f>
        <v>0</v>
      </c>
      <c r="G9" s="30"/>
      <c r="H9" s="31" t="s">
        <v>105</v>
      </c>
      <c r="I9" s="29" t="str">
        <f>IF(I5=0,"0",I16/I5)</f>
        <v>0</v>
      </c>
      <c r="J9" s="30"/>
      <c r="K9" s="31" t="s">
        <v>105</v>
      </c>
      <c r="L9" s="29" t="str">
        <f>IF(L5=0,"0",L16/L5)</f>
        <v>0</v>
      </c>
      <c r="M9" s="30"/>
      <c r="N9" s="31" t="s">
        <v>105</v>
      </c>
      <c r="O9" s="29" t="str">
        <f>IF(O5=0,"0",O16/O5)</f>
        <v>0</v>
      </c>
    </row>
    <row r="10" spans="2:15" ht="18.75" customHeight="1" x14ac:dyDescent="0.3">
      <c r="B10" s="5" t="s">
        <v>106</v>
      </c>
      <c r="C10" s="29" t="str">
        <f>IF(C5=0,"0",C17/C6)</f>
        <v>0</v>
      </c>
      <c r="D10" s="30"/>
      <c r="E10" s="31" t="s">
        <v>106</v>
      </c>
      <c r="F10" s="29" t="str">
        <f>IF(F6=0,"0",F17/F6)</f>
        <v>0</v>
      </c>
      <c r="G10" s="30"/>
      <c r="H10" s="31" t="s">
        <v>106</v>
      </c>
      <c r="I10" s="29" t="str">
        <f>IF(I6=0,"0",I17/I6)</f>
        <v>0</v>
      </c>
      <c r="J10" s="30"/>
      <c r="K10" s="31" t="s">
        <v>106</v>
      </c>
      <c r="L10" s="29" t="str">
        <f>IF(L6=0,"0",L17/L6)</f>
        <v>0</v>
      </c>
      <c r="M10" s="30"/>
      <c r="N10" s="31" t="s">
        <v>106</v>
      </c>
      <c r="O10" s="29" t="str">
        <f>IF(O6=0,"0",O17/O6)</f>
        <v>0</v>
      </c>
    </row>
    <row r="11" spans="2:15" ht="18.75" customHeight="1" x14ac:dyDescent="0.3">
      <c r="B11" s="5" t="s">
        <v>79</v>
      </c>
      <c r="C11" s="32" t="str">
        <f>IF(C5=0,"0",C9/-C10)</f>
        <v>0</v>
      </c>
      <c r="D11" s="33"/>
      <c r="E11" s="34" t="s">
        <v>79</v>
      </c>
      <c r="F11" s="32" t="str">
        <f>IF(F5=0,"0",F9/-F10)</f>
        <v>0</v>
      </c>
      <c r="G11" s="33"/>
      <c r="H11" s="34" t="s">
        <v>79</v>
      </c>
      <c r="I11" s="32" t="str">
        <f>IF(I5=0,"0",I9/-I10)</f>
        <v>0</v>
      </c>
      <c r="J11" s="33"/>
      <c r="K11" s="34" t="s">
        <v>79</v>
      </c>
      <c r="L11" s="32" t="str">
        <f>IF(L5=0,"0",L9/-L10)</f>
        <v>0</v>
      </c>
      <c r="M11" s="33"/>
      <c r="N11" s="34" t="s">
        <v>79</v>
      </c>
      <c r="O11" s="32" t="str">
        <f>IF(O5=0,"0",O9/-O10)</f>
        <v>0</v>
      </c>
    </row>
    <row r="12" spans="2:15" s="7" customFormat="1" ht="18.75" customHeight="1" x14ac:dyDescent="0.3">
      <c r="B12" s="26" t="s">
        <v>107</v>
      </c>
      <c r="C12" s="27">
        <f>(C11*C7)-C8</f>
        <v>0</v>
      </c>
      <c r="D12" s="28"/>
      <c r="E12" s="26" t="s">
        <v>107</v>
      </c>
      <c r="F12" s="27">
        <f>(F11*F7)-F8</f>
        <v>0</v>
      </c>
      <c r="G12" s="28"/>
      <c r="H12" s="26" t="s">
        <v>107</v>
      </c>
      <c r="I12" s="27">
        <f>(I11*I7)-I8</f>
        <v>0</v>
      </c>
      <c r="J12" s="28"/>
      <c r="K12" s="26" t="s">
        <v>107</v>
      </c>
      <c r="L12" s="27">
        <f>(L11*L7)-L8</f>
        <v>0</v>
      </c>
      <c r="M12" s="28"/>
      <c r="N12" s="26" t="s">
        <v>107</v>
      </c>
      <c r="O12" s="27">
        <f>(O11*O7)-O8</f>
        <v>0</v>
      </c>
    </row>
    <row r="13" spans="2:15" s="7" customFormat="1" ht="18.75" customHeight="1" x14ac:dyDescent="0.3">
      <c r="B13" s="26" t="s">
        <v>108</v>
      </c>
      <c r="C13" s="27" t="str">
        <f>IF(C12=0,"0",C7-(C8/C11))</f>
        <v>0</v>
      </c>
      <c r="D13" s="28"/>
      <c r="E13" s="26" t="s">
        <v>108</v>
      </c>
      <c r="F13" s="27" t="str">
        <f>IF(F12=0,"0",F7-(F8/F11))</f>
        <v>0</v>
      </c>
      <c r="G13" s="28"/>
      <c r="H13" s="26" t="s">
        <v>108</v>
      </c>
      <c r="I13" s="27" t="str">
        <f>IF(I12=0,"0",I7-(I8/I11))</f>
        <v>0</v>
      </c>
      <c r="J13" s="28"/>
      <c r="K13" s="26" t="s">
        <v>108</v>
      </c>
      <c r="L13" s="27" t="str">
        <f>IF(L12=0,"0",L7-(L8/L11))</f>
        <v>0</v>
      </c>
      <c r="M13" s="28"/>
      <c r="N13" s="26" t="s">
        <v>108</v>
      </c>
      <c r="O13" s="27" t="str">
        <f>IF(O12=0,"0",O7-(O8/O11))</f>
        <v>0</v>
      </c>
    </row>
    <row r="14" spans="2:15" s="7" customFormat="1" ht="18.75" customHeight="1" x14ac:dyDescent="0.3">
      <c r="B14" s="26" t="s">
        <v>61</v>
      </c>
      <c r="C14" s="27" t="e">
        <f>C8/C7</f>
        <v>#DIV/0!</v>
      </c>
      <c r="D14" s="28"/>
      <c r="E14" s="26" t="s">
        <v>61</v>
      </c>
      <c r="F14" s="27" t="e">
        <f>F8/F7</f>
        <v>#DIV/0!</v>
      </c>
      <c r="G14" s="28"/>
      <c r="H14" s="26" t="s">
        <v>61</v>
      </c>
      <c r="I14" s="27" t="e">
        <f>I8/I7</f>
        <v>#DIV/0!</v>
      </c>
      <c r="J14" s="28"/>
      <c r="K14" s="26" t="s">
        <v>61</v>
      </c>
      <c r="L14" s="27">
        <f>IF(OR(L7=0,L7="0"),0,L8/L7)</f>
        <v>0</v>
      </c>
      <c r="M14" s="28"/>
      <c r="N14" s="26" t="s">
        <v>61</v>
      </c>
      <c r="O14" s="27">
        <f>IF(OR(O7=0,O7="0"),0,O8/O7)</f>
        <v>0</v>
      </c>
    </row>
    <row r="15" spans="2:15" ht="18.75" customHeight="1" x14ac:dyDescent="0.3">
      <c r="B15" s="5"/>
      <c r="C15" s="1"/>
      <c r="D15" s="6"/>
      <c r="E15" s="5"/>
      <c r="F15" s="1"/>
      <c r="G15" s="6"/>
      <c r="H15" s="5"/>
      <c r="I15" s="1"/>
      <c r="J15" s="6"/>
      <c r="K15" s="5"/>
      <c r="L15" s="1"/>
      <c r="M15" s="6"/>
      <c r="N15" s="5"/>
      <c r="O15" s="1"/>
    </row>
    <row r="16" spans="2:15" ht="18.75" customHeight="1" x14ac:dyDescent="0.3">
      <c r="B16" s="5" t="s">
        <v>109</v>
      </c>
      <c r="C16" s="29">
        <f>SUMIF('Trade Log 2026'!W2:W101,"&gt;0")</f>
        <v>0</v>
      </c>
      <c r="D16" s="30"/>
      <c r="E16" s="31" t="s">
        <v>109</v>
      </c>
      <c r="F16" s="29">
        <f>SUMIF('Trade Log 2026'!W2:W26,"&gt;0")</f>
        <v>0</v>
      </c>
      <c r="G16" s="30"/>
      <c r="H16" s="31" t="s">
        <v>109</v>
      </c>
      <c r="I16" s="29">
        <f>SUMIF('Trade Log 2026'!W27:W51,"&gt;0")</f>
        <v>0</v>
      </c>
      <c r="J16" s="30"/>
      <c r="K16" s="31" t="s">
        <v>109</v>
      </c>
      <c r="L16" s="29">
        <f>SUMIF('Trade Log 2026'!W52:W76,"&gt;0")</f>
        <v>0</v>
      </c>
      <c r="M16" s="30"/>
      <c r="N16" s="31" t="s">
        <v>109</v>
      </c>
      <c r="O16" s="29">
        <f>SUMIF('Trade Log 2026'!W77:W101,"&gt;0")</f>
        <v>0</v>
      </c>
    </row>
    <row r="17" spans="2:15" ht="18.75" customHeight="1" x14ac:dyDescent="0.3">
      <c r="B17" s="5" t="s">
        <v>110</v>
      </c>
      <c r="C17" s="29">
        <f>SUMIF('Trade Log 2026'!W2:W101,"&lt;0")</f>
        <v>0</v>
      </c>
      <c r="D17" s="30"/>
      <c r="E17" s="31" t="s">
        <v>110</v>
      </c>
      <c r="F17" s="29">
        <f>SUMIF('Trade Log 2026'!W2:W26,"&lt;0")</f>
        <v>0</v>
      </c>
      <c r="G17" s="30"/>
      <c r="H17" s="31" t="s">
        <v>110</v>
      </c>
      <c r="I17" s="29">
        <f>SUMIF('Trade Log 2026'!W27:W51,"&lt;0")</f>
        <v>0</v>
      </c>
      <c r="J17" s="30"/>
      <c r="K17" s="31" t="s">
        <v>110</v>
      </c>
      <c r="L17" s="29">
        <f>SUMIF('Trade Log 2026'!W52:W76,"&lt;0")</f>
        <v>0</v>
      </c>
      <c r="M17" s="30"/>
      <c r="N17" s="31" t="s">
        <v>110</v>
      </c>
      <c r="O17" s="29">
        <f>SUMIF('Trade Log 2026'!W77:W101,"&lt;0")</f>
        <v>0</v>
      </c>
    </row>
    <row r="18" spans="2:15" ht="19.5" customHeight="1" thickBot="1" x14ac:dyDescent="0.35">
      <c r="B18" s="35" t="s">
        <v>111</v>
      </c>
      <c r="C18" s="36">
        <f>C16+C17</f>
        <v>0</v>
      </c>
      <c r="D18" s="30"/>
      <c r="E18" s="37" t="s">
        <v>111</v>
      </c>
      <c r="F18" s="36">
        <f>F16+F17</f>
        <v>0</v>
      </c>
      <c r="G18" s="30"/>
      <c r="H18" s="37" t="s">
        <v>111</v>
      </c>
      <c r="I18" s="36">
        <f>I16+I17</f>
        <v>0</v>
      </c>
      <c r="J18" s="30"/>
      <c r="K18" s="37" t="s">
        <v>111</v>
      </c>
      <c r="L18" s="36">
        <f>L16+L17</f>
        <v>0</v>
      </c>
      <c r="M18" s="30"/>
      <c r="N18" s="37" t="s">
        <v>111</v>
      </c>
      <c r="O18" s="36">
        <f>O16+O17</f>
        <v>0</v>
      </c>
    </row>
    <row r="19" spans="2:15" ht="15.75" customHeight="1" thickBot="1" x14ac:dyDescent="0.3">
      <c r="B19" s="8"/>
      <c r="C19" s="9"/>
      <c r="E19" s="8"/>
      <c r="F19" s="9"/>
      <c r="H19" s="8"/>
      <c r="I19" s="9"/>
      <c r="K19" s="8"/>
      <c r="L19" s="9"/>
      <c r="N19" s="8"/>
      <c r="O19" s="9"/>
    </row>
    <row r="20" spans="2:15" ht="18.75" customHeight="1" x14ac:dyDescent="0.3">
      <c r="B20" s="38" t="s">
        <v>112</v>
      </c>
      <c r="C20" s="39"/>
      <c r="E20" s="38" t="s">
        <v>112</v>
      </c>
      <c r="F20" s="39"/>
      <c r="H20" s="38" t="s">
        <v>112</v>
      </c>
      <c r="I20" s="39"/>
      <c r="K20" s="38" t="s">
        <v>112</v>
      </c>
      <c r="L20" s="39"/>
      <c r="N20" s="38" t="s">
        <v>112</v>
      </c>
      <c r="O20" s="39"/>
    </row>
    <row r="21" spans="2:15" ht="15.75" customHeight="1" x14ac:dyDescent="0.25">
      <c r="B21" s="10"/>
      <c r="C21" s="2"/>
      <c r="E21" s="10"/>
      <c r="F21" s="11"/>
      <c r="H21" s="10"/>
      <c r="I21" s="11"/>
      <c r="K21" s="10"/>
      <c r="L21" s="11"/>
      <c r="N21" s="10"/>
      <c r="O21" s="11"/>
    </row>
    <row r="22" spans="2:15" ht="15.75" customHeight="1" x14ac:dyDescent="0.25">
      <c r="B22" s="40" t="s">
        <v>113</v>
      </c>
      <c r="C22" s="41">
        <f>IF(F22="","",AVERAGE(F22,I22,L22,O22))</f>
        <v>35000</v>
      </c>
      <c r="E22" s="40" t="s">
        <v>113</v>
      </c>
      <c r="F22" s="42">
        <v>35000</v>
      </c>
      <c r="H22" s="40" t="s">
        <v>113</v>
      </c>
      <c r="I22" s="42">
        <v>35000</v>
      </c>
      <c r="K22" s="40" t="s">
        <v>113</v>
      </c>
      <c r="L22" s="42">
        <v>35000</v>
      </c>
      <c r="N22" s="40" t="s">
        <v>113</v>
      </c>
      <c r="O22" s="42">
        <v>35000</v>
      </c>
    </row>
    <row r="23" spans="2:15" ht="15.75" customHeight="1" x14ac:dyDescent="0.25">
      <c r="B23" s="40" t="s">
        <v>114</v>
      </c>
      <c r="C23" s="43">
        <v>1.4999999999999999E-2</v>
      </c>
      <c r="E23" s="40" t="s">
        <v>114</v>
      </c>
      <c r="F23" s="44">
        <v>1.4999999999999999E-2</v>
      </c>
      <c r="H23" s="40" t="s">
        <v>114</v>
      </c>
      <c r="I23" s="44">
        <v>1.4999999999999999E-2</v>
      </c>
      <c r="K23" s="40" t="s">
        <v>114</v>
      </c>
      <c r="L23" s="44">
        <v>1.4999999999999999E-2</v>
      </c>
      <c r="N23" s="40" t="s">
        <v>114</v>
      </c>
      <c r="O23" s="44">
        <v>1.4999999999999999E-2</v>
      </c>
    </row>
    <row r="24" spans="2:15" ht="15.75" customHeight="1" x14ac:dyDescent="0.25">
      <c r="B24" s="40" t="s">
        <v>115</v>
      </c>
      <c r="C24" s="45">
        <f>AVERAGE(F24,I24,L24,O24)</f>
        <v>525</v>
      </c>
      <c r="E24" s="40" t="s">
        <v>115</v>
      </c>
      <c r="F24" s="41">
        <f>IF(F22="","",F22*F23)</f>
        <v>525</v>
      </c>
      <c r="H24" s="40" t="s">
        <v>115</v>
      </c>
      <c r="I24" s="41">
        <f>IF(I22="","",I22*I23)</f>
        <v>525</v>
      </c>
      <c r="K24" s="40" t="s">
        <v>115</v>
      </c>
      <c r="L24" s="41">
        <f>IF(L22="","",L22*L23)</f>
        <v>525</v>
      </c>
      <c r="N24" s="40" t="s">
        <v>115</v>
      </c>
      <c r="O24" s="41">
        <f>IF(O22="","",O22*O23)</f>
        <v>525</v>
      </c>
    </row>
    <row r="25" spans="2:15" ht="15.75" customHeight="1" x14ac:dyDescent="0.25">
      <c r="B25" s="40" t="s">
        <v>116</v>
      </c>
      <c r="C25" s="43">
        <f>IFERROR(IF(F25=0,F25,IF(I25=0,F25,IF(L25=0,AVERAGE(F25,I25),IF(O25=0,AVERAGE(F25,I25,L25),AVERAGE(F25,I25,L25,O25))))),0)</f>
        <v>0</v>
      </c>
      <c r="E25" s="40" t="s">
        <v>116</v>
      </c>
      <c r="F25" s="43">
        <f>IF(F6=0,0,F10/F24*-1)</f>
        <v>0</v>
      </c>
      <c r="H25" s="40" t="s">
        <v>116</v>
      </c>
      <c r="I25" s="43">
        <f>IF(OR(I6=0,I24="",I24=0),0,I10/I24*-1)</f>
        <v>0</v>
      </c>
      <c r="K25" s="40" t="s">
        <v>116</v>
      </c>
      <c r="L25" s="43">
        <f>IF(OR(L6=0,L24="",L24=0),0,L10/L24*-1)</f>
        <v>0</v>
      </c>
      <c r="N25" s="40" t="s">
        <v>116</v>
      </c>
      <c r="O25" s="43">
        <f>IF(OR(O6=0,O24="",O24=0),0,O10/O24*-1)</f>
        <v>0</v>
      </c>
    </row>
    <row r="26" spans="2:15" ht="15.75" customHeight="1" x14ac:dyDescent="0.25">
      <c r="B26" s="40" t="s">
        <v>117</v>
      </c>
      <c r="C26" s="46">
        <f>IF(C5=0,0,AVERAGEIF('Trade Log 2026'!W2:W101,"&gt;0",('Trade Log 2026'!U2:U101)))</f>
        <v>0</v>
      </c>
      <c r="E26" s="40" t="s">
        <v>117</v>
      </c>
      <c r="F26" s="46">
        <f>IF(F5=0,0,AVERAGEIF('Trade Log 2026'!W2:W26,"&gt;0",('Trade Log 2026'!U2:U26)))</f>
        <v>0</v>
      </c>
      <c r="H26" s="40" t="s">
        <v>117</v>
      </c>
      <c r="I26" s="46" t="e">
        <f>IF(I4=0,0,AVERAGEIF('Trade Log 2026'!W27:W51,"&gt;0",('Trade Log 2026'!U27:U51)))</f>
        <v>#REF!</v>
      </c>
      <c r="K26" s="40" t="s">
        <v>117</v>
      </c>
      <c r="L26" s="46">
        <f>IF(L4=0,0,AVERAGEIF('Trade Log 2026'!W52:W76,"&gt;0",('Trade Log 2026'!U52:U76)))</f>
        <v>0</v>
      </c>
      <c r="N26" s="40" t="s">
        <v>117</v>
      </c>
      <c r="O26" s="46">
        <f>IF(O4=0,0,AVERAGEIF('Trade Log 2026'!W77:W101,"&gt;0",('Trade Log 2026'!U77:U101)))</f>
        <v>0</v>
      </c>
    </row>
    <row r="27" spans="2:15" ht="15.75" customHeight="1" x14ac:dyDescent="0.25">
      <c r="B27" s="40" t="s">
        <v>118</v>
      </c>
      <c r="C27" s="46">
        <f>IF(C6=0,F27,AVERAGEIF('Trade Log 2026'!W2:W101,"&lt;0",('Trade Log 2026'!U2:U101)))</f>
        <v>0</v>
      </c>
      <c r="E27" s="40" t="s">
        <v>118</v>
      </c>
      <c r="F27" s="46">
        <f>IF(F6=0,F6,AVERAGEIF('Trade Log 2026'!W2:W26,"&lt;0",('Trade Log 2026'!U2:U26)))</f>
        <v>0</v>
      </c>
      <c r="H27" s="40" t="s">
        <v>118</v>
      </c>
      <c r="I27" s="46">
        <f>IF(I6=0,0,AVERAGEIF('Trade Log 2026'!W27:W51,"&lt;0",('Trade Log 2026'!U27:U51)))</f>
        <v>0</v>
      </c>
      <c r="K27" s="40" t="s">
        <v>118</v>
      </c>
      <c r="L27" s="46">
        <f>IF(L6=0,0,AVERAGEIF('Trade Log 2026'!W52:W76,"&lt;0",('Trade Log 2026'!U52:U76)))</f>
        <v>0</v>
      </c>
      <c r="N27" s="40" t="s">
        <v>118</v>
      </c>
      <c r="O27" s="46">
        <f>IF(O6=0,0,AVERAGEIF('Trade Log 2026'!W77:W101,"&lt;0",('Trade Log 2026'!U77:U101)))</f>
        <v>0</v>
      </c>
    </row>
    <row r="28" spans="2:15" ht="15.75" customHeight="1" x14ac:dyDescent="0.25">
      <c r="B28" s="40" t="s">
        <v>119</v>
      </c>
      <c r="C28" s="46">
        <f>IF(C4=0,0,AVERAGE('Trade Log 2026'!U2:U101))</f>
        <v>0</v>
      </c>
      <c r="E28" s="40" t="s">
        <v>119</v>
      </c>
      <c r="F28" s="46">
        <f>IF(F4=0,0,AVERAGE('Trade Log 2026'!U2:U26))</f>
        <v>0</v>
      </c>
      <c r="H28" s="40" t="s">
        <v>119</v>
      </c>
      <c r="I28" s="46" t="e">
        <f t="array" ref="I28">IF(OR(I4=0, I4=""), "", IFERROR(ROUND(AVERAGE(_xlfn._xlws.FILTER(INDEX(#REF!,,17), (ROW(#REF!)-ROW(#REF!)&gt;=26)*(ROW(#REF!)-ROW(#REF!)&lt;=50)*ISNUMBER(INDEX(#REF!,,17)))), 2), ""))</f>
        <v>#REF!</v>
      </c>
      <c r="K28" s="40" t="s">
        <v>119</v>
      </c>
      <c r="L28" s="46">
        <f>IF(L4=0,0,AVERAGE('Trade Log 2026'!U52:U76))</f>
        <v>0</v>
      </c>
      <c r="N28" s="40" t="s">
        <v>119</v>
      </c>
      <c r="O28" s="46">
        <f>IF(O4=0,0,AVERAGE('Trade Log 2026'!U77:U101))</f>
        <v>0</v>
      </c>
    </row>
    <row r="29" spans="2:15" ht="15.75" customHeight="1" x14ac:dyDescent="0.25">
      <c r="B29" s="40" t="s">
        <v>120</v>
      </c>
      <c r="C29" s="43">
        <f>IF(C4=0,0,C18/C22)</f>
        <v>0</v>
      </c>
      <c r="E29" s="40" t="s">
        <v>120</v>
      </c>
      <c r="F29" s="43">
        <f>IF(F4=0,0,F18/F22)</f>
        <v>0</v>
      </c>
      <c r="H29" s="40" t="s">
        <v>120</v>
      </c>
      <c r="I29" s="43" t="e">
        <f>IF(OR(I4=0,I22="",I22=0),0,I18/I22)</f>
        <v>#REF!</v>
      </c>
      <c r="K29" s="40" t="s">
        <v>120</v>
      </c>
      <c r="L29" s="43">
        <f>IF(OR(L4=0,L22="",L22=0),0,L18/L22)</f>
        <v>0</v>
      </c>
      <c r="N29" s="40" t="s">
        <v>120</v>
      </c>
      <c r="O29" s="43">
        <f>IF(OR(O4=0,O22="",O22=0),0,O18/O22)</f>
        <v>0</v>
      </c>
    </row>
    <row r="30" spans="2:15" ht="15.75" customHeight="1" x14ac:dyDescent="0.25">
      <c r="B30" s="40" t="s">
        <v>121</v>
      </c>
      <c r="C30" s="47" t="str">
        <f>IF('Trade Log 2026'!G2="","",'Trade Log 2026'!G2)</f>
        <v/>
      </c>
      <c r="D30" s="48"/>
      <c r="E30" s="49" t="s">
        <v>121</v>
      </c>
      <c r="F30" s="47" t="str">
        <f>IF('Trade Log 2026'!G2="","",'Trade Log 2026'!G2)</f>
        <v/>
      </c>
      <c r="G30" s="48"/>
      <c r="H30" s="49" t="s">
        <v>121</v>
      </c>
      <c r="I30" s="47" t="str">
        <f>IF('Trade Log 2026'!G27="","",'Trade Log 2026'!G27)</f>
        <v/>
      </c>
      <c r="J30" s="48"/>
      <c r="K30" s="49" t="s">
        <v>121</v>
      </c>
      <c r="L30" s="47" t="str">
        <f>IF('Trade Log 2026'!G52="","",'Trade Log 2026'!G52)</f>
        <v/>
      </c>
      <c r="M30" s="48"/>
      <c r="N30" s="49" t="s">
        <v>121</v>
      </c>
      <c r="O30" s="47" t="str">
        <f>IF('Trade Log 2026'!G77="","",'Trade Log 2026'!G77)</f>
        <v/>
      </c>
    </row>
    <row r="31" spans="2:15" ht="16.5" customHeight="1" thickBot="1" x14ac:dyDescent="0.3">
      <c r="B31" s="50" t="s">
        <v>122</v>
      </c>
      <c r="C31" s="51" t="str">
        <f>IF('Trade Log 2026'!L101="","Last 101 Trade",'Trade Log 2026'!L101)</f>
        <v>Last 101 Trade</v>
      </c>
      <c r="D31" s="48"/>
      <c r="E31" s="52" t="s">
        <v>122</v>
      </c>
      <c r="F31" s="51" t="str">
        <f>IF('Trade Log 2026'!L26="","",IF('Trade Log 2026'!P26="",'Trade Log 2026'!L26,IF('Trade Log 2026'!T26="",'Trade Log 2026'!P26,'Trade Log 2026'!T26)))</f>
        <v/>
      </c>
      <c r="G31" s="48"/>
      <c r="H31" s="52" t="s">
        <v>122</v>
      </c>
      <c r="I31" s="51" t="str">
        <f>IF('Trade Log 2026'!L51="","",IF('Trade Log 2026'!P51="",'Trade Log 2026'!L51,IF('Trade Log 2026'!T51="",'Trade Log 2026'!P51,'Trade Log 2026'!T51)))</f>
        <v/>
      </c>
      <c r="J31" s="48"/>
      <c r="K31" s="52" t="s">
        <v>122</v>
      </c>
      <c r="L31" s="51" t="str">
        <f>IF('Trade Log 2026'!L76="","",IF('Trade Log 2026'!P76="",'Trade Log 2026'!L76,IF('Trade Log 2026'!T76="",'Trade Log 2026'!P76,'Trade Log 2026'!T76)))</f>
        <v/>
      </c>
      <c r="M31" s="48"/>
      <c r="N31" s="52" t="s">
        <v>122</v>
      </c>
      <c r="O31" s="51" t="str">
        <f>IF('Trade Log 2026'!L101="","",IF('Trade Log 2026'!P101="",'Trade Log 2026'!L101,IF('Trade Log 2026'!T101="",'Trade Log 2026'!P101,'Trade Log 2026'!T101)))</f>
        <v/>
      </c>
    </row>
    <row r="33" spans="2:2" ht="15.75" customHeight="1" x14ac:dyDescent="0.25">
      <c r="B33" s="53" t="s">
        <v>123</v>
      </c>
    </row>
    <row r="35" spans="2:2" ht="15.75" customHeight="1" x14ac:dyDescent="0.25">
      <c r="B35" s="53" t="s">
        <v>124</v>
      </c>
    </row>
    <row r="36" spans="2:2" x14ac:dyDescent="0.25">
      <c r="B36" t="s">
        <v>125</v>
      </c>
    </row>
    <row r="37" spans="2:2" ht="15.75" customHeight="1" x14ac:dyDescent="0.25">
      <c r="B37" s="53" t="s">
        <v>126</v>
      </c>
    </row>
    <row r="38" spans="2:2" ht="15.75" customHeight="1" x14ac:dyDescent="0.25">
      <c r="B38" s="53" t="s">
        <v>127</v>
      </c>
    </row>
  </sheetData>
  <pageMargins left="0.7" right="0.7" top="0.75" bottom="0.75" header="0.3" footer="0.3"/>
  <pageSetup orientation="portrait" horizontalDpi="429496729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4E2CE1-E580-4E5C-B7FF-3850AB2DA2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Claude Log</vt:lpstr>
      <vt:lpstr>Trade Log 2026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BSD Enterprises</dc:creator>
  <cp:lastModifiedBy>Anthony Zoppi</cp:lastModifiedBy>
  <dcterms:created xsi:type="dcterms:W3CDTF">2012-05-31T16:29:20Z</dcterms:created>
  <dcterms:modified xsi:type="dcterms:W3CDTF">2026-04-11T17:21:18Z</dcterms:modified>
</cp:coreProperties>
</file>