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C:\Users\Trader\AI-Agent-Learning-Hub\projects\P_020_AJZStrategies_PerformanceAnalysisSystem\data\"/>
    </mc:Choice>
  </mc:AlternateContent>
  <xr:revisionPtr revIDLastSave="0" documentId="13_ncr:1_{6A173CB6-8B5A-4B60-94C5-0B81F4CA66ED}" xr6:coauthVersionLast="47" xr6:coauthVersionMax="47" xr10:uidLastSave="{00000000-0000-0000-0000-000000000000}"/>
  <bookViews>
    <workbookView xWindow="-120" yWindow="-120" windowWidth="29040" windowHeight="15720" activeTab="1" xr2:uid="{00000000-000D-0000-FFFF-FFFF00000000}"/>
  </bookViews>
  <sheets>
    <sheet name="Claude Log" sheetId="1" r:id="rId1"/>
    <sheet name="Trade Log 2026" sheetId="2" r:id="rId2"/>
    <sheet name="Dashboard"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1" i="3" l="1"/>
  <c r="L31" i="3"/>
  <c r="I31" i="3"/>
  <c r="F31" i="3"/>
  <c r="C31" i="3"/>
  <c r="O30" i="3"/>
  <c r="L30" i="3"/>
  <c r="I30" i="3"/>
  <c r="F30" i="3"/>
  <c r="C30" i="3"/>
  <c r="O24" i="3"/>
  <c r="L24" i="3"/>
  <c r="I24" i="3"/>
  <c r="F24" i="3"/>
  <c r="C24" i="3"/>
  <c r="C22" i="3"/>
  <c r="I4" i="3" a="1"/>
  <c r="I4" i="3" s="1"/>
  <c r="AA101" i="2"/>
  <c r="Z101" i="2"/>
  <c r="Y101" i="2"/>
  <c r="W101" i="2"/>
  <c r="M101" i="2"/>
  <c r="AA100" i="2"/>
  <c r="Z100" i="2"/>
  <c r="Y100" i="2"/>
  <c r="W100" i="2"/>
  <c r="M100" i="2"/>
  <c r="AA99" i="2"/>
  <c r="Z99" i="2"/>
  <c r="Y99" i="2"/>
  <c r="W99" i="2"/>
  <c r="M99" i="2"/>
  <c r="AA98" i="2"/>
  <c r="Z98" i="2"/>
  <c r="Y98" i="2"/>
  <c r="W98" i="2"/>
  <c r="M98" i="2"/>
  <c r="AA97" i="2"/>
  <c r="Z97" i="2"/>
  <c r="Y97" i="2"/>
  <c r="W97" i="2"/>
  <c r="M97" i="2"/>
  <c r="AA96" i="2"/>
  <c r="Z96" i="2"/>
  <c r="Y96" i="2"/>
  <c r="W96" i="2"/>
  <c r="M96" i="2"/>
  <c r="AA95" i="2"/>
  <c r="Z95" i="2"/>
  <c r="Y95" i="2"/>
  <c r="W95" i="2"/>
  <c r="M95" i="2"/>
  <c r="AA94" i="2"/>
  <c r="Z94" i="2"/>
  <c r="Y94" i="2"/>
  <c r="W94" i="2"/>
  <c r="M94" i="2"/>
  <c r="AA93" i="2"/>
  <c r="Z93" i="2"/>
  <c r="Y93" i="2"/>
  <c r="W93" i="2"/>
  <c r="M93" i="2"/>
  <c r="AA92" i="2"/>
  <c r="Z92" i="2"/>
  <c r="Y92" i="2"/>
  <c r="W92" i="2"/>
  <c r="M92" i="2"/>
  <c r="AA91" i="2"/>
  <c r="Z91" i="2"/>
  <c r="Y91" i="2"/>
  <c r="W91" i="2"/>
  <c r="M91" i="2"/>
  <c r="AA90" i="2"/>
  <c r="Z90" i="2"/>
  <c r="Y90" i="2"/>
  <c r="W90" i="2"/>
  <c r="M90" i="2"/>
  <c r="AA89" i="2"/>
  <c r="Z89" i="2"/>
  <c r="Y89" i="2"/>
  <c r="W89" i="2"/>
  <c r="M89" i="2"/>
  <c r="AA88" i="2"/>
  <c r="Z88" i="2"/>
  <c r="Y88" i="2"/>
  <c r="W88" i="2"/>
  <c r="M88" i="2"/>
  <c r="AA87" i="2"/>
  <c r="Z87" i="2"/>
  <c r="Y87" i="2"/>
  <c r="W87" i="2"/>
  <c r="M87" i="2"/>
  <c r="AA86" i="2"/>
  <c r="Z86" i="2"/>
  <c r="Y86" i="2"/>
  <c r="W86" i="2"/>
  <c r="M86" i="2"/>
  <c r="AA85" i="2"/>
  <c r="Z85" i="2"/>
  <c r="Y85" i="2"/>
  <c r="W85" i="2"/>
  <c r="M85" i="2"/>
  <c r="AA84" i="2"/>
  <c r="Z84" i="2"/>
  <c r="Y84" i="2"/>
  <c r="W84" i="2"/>
  <c r="M84" i="2"/>
  <c r="AA83" i="2"/>
  <c r="Z83" i="2"/>
  <c r="Y83" i="2"/>
  <c r="W83" i="2"/>
  <c r="M83" i="2"/>
  <c r="AA82" i="2"/>
  <c r="Z82" i="2"/>
  <c r="Y82" i="2"/>
  <c r="W82" i="2"/>
  <c r="M82" i="2"/>
  <c r="AA81" i="2"/>
  <c r="Z81" i="2"/>
  <c r="Y81" i="2"/>
  <c r="W81" i="2"/>
  <c r="M81" i="2"/>
  <c r="AA80" i="2"/>
  <c r="Z80" i="2"/>
  <c r="Y80" i="2"/>
  <c r="W80" i="2"/>
  <c r="M80" i="2"/>
  <c r="AA79" i="2"/>
  <c r="Z79" i="2"/>
  <c r="Y79" i="2"/>
  <c r="W79" i="2"/>
  <c r="M79" i="2"/>
  <c r="AA78" i="2"/>
  <c r="Z78" i="2"/>
  <c r="Y78" i="2"/>
  <c r="W78" i="2"/>
  <c r="M78" i="2"/>
  <c r="AA77" i="2"/>
  <c r="Z77" i="2"/>
  <c r="Y77" i="2"/>
  <c r="W77" i="2"/>
  <c r="U77" i="2"/>
  <c r="Q77" i="2"/>
  <c r="M77" i="2"/>
  <c r="AA76" i="2"/>
  <c r="Z76" i="2"/>
  <c r="Y76" i="2"/>
  <c r="W76" i="2"/>
  <c r="M76" i="2"/>
  <c r="AA75" i="2"/>
  <c r="Z75" i="2"/>
  <c r="Y75" i="2"/>
  <c r="W75" i="2"/>
  <c r="M75" i="2"/>
  <c r="AA74" i="2"/>
  <c r="Z74" i="2"/>
  <c r="Y74" i="2"/>
  <c r="W74" i="2"/>
  <c r="M74" i="2"/>
  <c r="AA73" i="2"/>
  <c r="Z73" i="2"/>
  <c r="Y73" i="2"/>
  <c r="W73" i="2"/>
  <c r="M73" i="2"/>
  <c r="AA72" i="2"/>
  <c r="Z72" i="2"/>
  <c r="Y72" i="2"/>
  <c r="W72" i="2"/>
  <c r="M72" i="2"/>
  <c r="AA71" i="2"/>
  <c r="Z71" i="2"/>
  <c r="Y71" i="2"/>
  <c r="W71" i="2"/>
  <c r="M71" i="2"/>
  <c r="AA70" i="2"/>
  <c r="Z70" i="2"/>
  <c r="Y70" i="2"/>
  <c r="W70" i="2"/>
  <c r="M70" i="2"/>
  <c r="AA69" i="2"/>
  <c r="Z69" i="2"/>
  <c r="Y69" i="2"/>
  <c r="W69" i="2"/>
  <c r="M69" i="2"/>
  <c r="AA68" i="2"/>
  <c r="Z68" i="2"/>
  <c r="Y68" i="2"/>
  <c r="W68" i="2"/>
  <c r="M68" i="2"/>
  <c r="AA67" i="2"/>
  <c r="Z67" i="2"/>
  <c r="Y67" i="2"/>
  <c r="W67" i="2"/>
  <c r="M67" i="2"/>
  <c r="AA66" i="2"/>
  <c r="Z66" i="2"/>
  <c r="Y66" i="2"/>
  <c r="W66" i="2"/>
  <c r="M66" i="2"/>
  <c r="AA65" i="2"/>
  <c r="Z65" i="2"/>
  <c r="Y65" i="2"/>
  <c r="W65" i="2"/>
  <c r="M65" i="2"/>
  <c r="AA64" i="2"/>
  <c r="Z64" i="2"/>
  <c r="Y64" i="2"/>
  <c r="W64" i="2"/>
  <c r="M64" i="2"/>
  <c r="AA63" i="2"/>
  <c r="Z63" i="2"/>
  <c r="Y63" i="2"/>
  <c r="W63" i="2"/>
  <c r="M63" i="2"/>
  <c r="AA62" i="2"/>
  <c r="Z62" i="2"/>
  <c r="Y62" i="2"/>
  <c r="W62" i="2"/>
  <c r="M62" i="2"/>
  <c r="AA61" i="2"/>
  <c r="Z61" i="2"/>
  <c r="Y61" i="2"/>
  <c r="W61" i="2"/>
  <c r="M61" i="2"/>
  <c r="AA60" i="2"/>
  <c r="Z60" i="2"/>
  <c r="Y60" i="2"/>
  <c r="W60" i="2"/>
  <c r="M60" i="2"/>
  <c r="AA59" i="2"/>
  <c r="Z59" i="2"/>
  <c r="Y59" i="2"/>
  <c r="W59" i="2"/>
  <c r="M59" i="2"/>
  <c r="AA58" i="2"/>
  <c r="Z58" i="2"/>
  <c r="Y58" i="2"/>
  <c r="W58" i="2"/>
  <c r="M58" i="2"/>
  <c r="AA57" i="2"/>
  <c r="Z57" i="2"/>
  <c r="Y57" i="2"/>
  <c r="W57" i="2"/>
  <c r="M57" i="2"/>
  <c r="AA56" i="2"/>
  <c r="Z56" i="2"/>
  <c r="Y56" i="2"/>
  <c r="W56" i="2"/>
  <c r="M56" i="2"/>
  <c r="AA55" i="2"/>
  <c r="Z55" i="2"/>
  <c r="Y55" i="2"/>
  <c r="W55" i="2"/>
  <c r="M55" i="2"/>
  <c r="AA54" i="2"/>
  <c r="Z54" i="2"/>
  <c r="Y54" i="2"/>
  <c r="W54" i="2"/>
  <c r="M54" i="2"/>
  <c r="AA53" i="2"/>
  <c r="Z53" i="2"/>
  <c r="Y53" i="2"/>
  <c r="W53" i="2"/>
  <c r="M53" i="2"/>
  <c r="AA52" i="2"/>
  <c r="Z52" i="2"/>
  <c r="Y52" i="2"/>
  <c r="W52" i="2"/>
  <c r="M52" i="2"/>
  <c r="AA51" i="2"/>
  <c r="Z51" i="2"/>
  <c r="Y51" i="2"/>
  <c r="W51" i="2"/>
  <c r="M51" i="2"/>
  <c r="AA50" i="2"/>
  <c r="Z50" i="2"/>
  <c r="Y50" i="2"/>
  <c r="W50" i="2"/>
  <c r="M50" i="2"/>
  <c r="AA49" i="2"/>
  <c r="Z49" i="2"/>
  <c r="Y49" i="2"/>
  <c r="W49" i="2"/>
  <c r="M49" i="2"/>
  <c r="AA48" i="2"/>
  <c r="Z48" i="2"/>
  <c r="Y48" i="2"/>
  <c r="W48" i="2"/>
  <c r="M48" i="2"/>
  <c r="AA47" i="2"/>
  <c r="Z47" i="2"/>
  <c r="Y47" i="2"/>
  <c r="W47" i="2"/>
  <c r="M47" i="2"/>
  <c r="AA46" i="2"/>
  <c r="Z46" i="2"/>
  <c r="Y46" i="2"/>
  <c r="W46" i="2"/>
  <c r="M46" i="2"/>
  <c r="AA45" i="2"/>
  <c r="Z45" i="2"/>
  <c r="Y45" i="2"/>
  <c r="W45" i="2"/>
  <c r="M45" i="2"/>
  <c r="AA44" i="2"/>
  <c r="Z44" i="2"/>
  <c r="Y44" i="2"/>
  <c r="W44" i="2"/>
  <c r="M44" i="2"/>
  <c r="AA43" i="2"/>
  <c r="Z43" i="2"/>
  <c r="Y43" i="2"/>
  <c r="W43" i="2"/>
  <c r="M43" i="2"/>
  <c r="AA42" i="2"/>
  <c r="Z42" i="2"/>
  <c r="Y42" i="2"/>
  <c r="W42" i="2"/>
  <c r="M42" i="2"/>
  <c r="AA41" i="2"/>
  <c r="Z41" i="2"/>
  <c r="Y41" i="2"/>
  <c r="W41" i="2"/>
  <c r="Q41" i="2"/>
  <c r="M41" i="2"/>
  <c r="U41" i="2" s="1"/>
  <c r="AA40" i="2"/>
  <c r="Z40" i="2"/>
  <c r="Y40" i="2"/>
  <c r="W40" i="2"/>
  <c r="M40" i="2"/>
  <c r="AA39" i="2"/>
  <c r="Z39" i="2"/>
  <c r="Y39" i="2"/>
  <c r="W39" i="2"/>
  <c r="M39" i="2"/>
  <c r="AA38" i="2"/>
  <c r="Z38" i="2"/>
  <c r="Y38" i="2"/>
  <c r="W38" i="2"/>
  <c r="M38" i="2"/>
  <c r="AA37" i="2"/>
  <c r="Z37" i="2"/>
  <c r="Y37" i="2"/>
  <c r="W37" i="2"/>
  <c r="M37" i="2"/>
  <c r="AA36" i="2"/>
  <c r="Z36" i="2"/>
  <c r="Y36" i="2"/>
  <c r="W36" i="2"/>
  <c r="U36" i="2"/>
  <c r="Q36" i="2"/>
  <c r="M36" i="2"/>
  <c r="AA35" i="2"/>
  <c r="Z35" i="2"/>
  <c r="Y35" i="2"/>
  <c r="W35" i="2"/>
  <c r="U35" i="2"/>
  <c r="M35" i="2"/>
  <c r="Q35" i="2" s="1"/>
  <c r="AA34" i="2"/>
  <c r="Z34" i="2"/>
  <c r="Y34" i="2"/>
  <c r="W34" i="2"/>
  <c r="M34" i="2"/>
  <c r="AA33" i="2"/>
  <c r="Z33" i="2"/>
  <c r="Y33" i="2"/>
  <c r="W33" i="2"/>
  <c r="M33" i="2"/>
  <c r="AA32" i="2"/>
  <c r="Z32" i="2"/>
  <c r="Y32" i="2"/>
  <c r="W32" i="2"/>
  <c r="M32" i="2"/>
  <c r="AA31" i="2"/>
  <c r="Z31" i="2"/>
  <c r="Y31" i="2"/>
  <c r="W31" i="2"/>
  <c r="M31" i="2"/>
  <c r="AA30" i="2"/>
  <c r="Z30" i="2"/>
  <c r="Y30" i="2"/>
  <c r="W30" i="2"/>
  <c r="U30" i="2"/>
  <c r="Q30" i="2"/>
  <c r="M30" i="2"/>
  <c r="AA29" i="2"/>
  <c r="Z29" i="2"/>
  <c r="Y29" i="2"/>
  <c r="W29" i="2"/>
  <c r="M29" i="2"/>
  <c r="AA28" i="2"/>
  <c r="Z28" i="2"/>
  <c r="Y28" i="2"/>
  <c r="W28" i="2"/>
  <c r="U28" i="2"/>
  <c r="Q28" i="2"/>
  <c r="M28" i="2"/>
  <c r="AA27" i="2"/>
  <c r="Z27" i="2"/>
  <c r="Y27" i="2"/>
  <c r="W27" i="2"/>
  <c r="M27" i="2"/>
  <c r="AA26" i="2"/>
  <c r="Z26" i="2"/>
  <c r="Y26" i="2"/>
  <c r="W26" i="2" s="1"/>
  <c r="M26" i="2"/>
  <c r="AA25" i="2"/>
  <c r="Z25" i="2"/>
  <c r="W25" i="2" s="1"/>
  <c r="Y25" i="2"/>
  <c r="M25" i="2"/>
  <c r="AA24" i="2"/>
  <c r="Z24" i="2"/>
  <c r="Y24" i="2"/>
  <c r="W24" i="2" s="1"/>
  <c r="M24" i="2"/>
  <c r="AA23" i="2"/>
  <c r="Z23" i="2"/>
  <c r="Y23" i="2"/>
  <c r="W23" i="2" s="1"/>
  <c r="M23" i="2"/>
  <c r="AA22" i="2"/>
  <c r="Z22" i="2"/>
  <c r="Y22" i="2"/>
  <c r="W22" i="2" s="1"/>
  <c r="M22" i="2"/>
  <c r="AA21" i="2"/>
  <c r="Z21" i="2"/>
  <c r="Y21" i="2"/>
  <c r="W21" i="2" s="1"/>
  <c r="M21" i="2"/>
  <c r="AA20" i="2"/>
  <c r="Z20" i="2"/>
  <c r="W20" i="2" s="1"/>
  <c r="Y20" i="2"/>
  <c r="M20" i="2"/>
  <c r="AA19" i="2"/>
  <c r="Z19" i="2"/>
  <c r="Y19" i="2"/>
  <c r="W19" i="2"/>
  <c r="M19" i="2"/>
  <c r="AA18" i="2"/>
  <c r="Z18" i="2"/>
  <c r="Y18" i="2"/>
  <c r="W18" i="2"/>
  <c r="M18" i="2"/>
  <c r="AA17" i="2"/>
  <c r="Z17" i="2"/>
  <c r="Y17" i="2"/>
  <c r="W17" i="2" s="1"/>
  <c r="M17" i="2"/>
  <c r="AA16" i="2"/>
  <c r="Z16" i="2"/>
  <c r="Y16" i="2"/>
  <c r="W16" i="2" s="1"/>
  <c r="M16" i="2"/>
  <c r="AA15" i="2"/>
  <c r="Z15" i="2"/>
  <c r="W15" i="2" s="1"/>
  <c r="Y15" i="2"/>
  <c r="M15" i="2"/>
  <c r="AA14" i="2"/>
  <c r="Z14" i="2"/>
  <c r="Y14" i="2"/>
  <c r="W14" i="2" s="1"/>
  <c r="M14" i="2"/>
  <c r="AA13" i="2"/>
  <c r="Z13" i="2"/>
  <c r="Y13" i="2"/>
  <c r="W13" i="2" s="1"/>
  <c r="M13" i="2"/>
  <c r="AA12" i="2"/>
  <c r="Z12" i="2"/>
  <c r="Y12" i="2"/>
  <c r="W12" i="2" s="1"/>
  <c r="M12" i="2"/>
  <c r="AA11" i="2"/>
  <c r="Z11" i="2"/>
  <c r="Y11" i="2"/>
  <c r="W11" i="2" s="1"/>
  <c r="M11" i="2"/>
  <c r="AA10" i="2"/>
  <c r="Z10" i="2"/>
  <c r="Y10" i="2"/>
  <c r="W10" i="2" s="1"/>
  <c r="M10" i="2"/>
  <c r="AA9" i="2"/>
  <c r="Z9" i="2"/>
  <c r="Y9" i="2"/>
  <c r="W9" i="2"/>
  <c r="M9" i="2"/>
  <c r="AA8" i="2"/>
  <c r="Z8" i="2"/>
  <c r="Y8" i="2"/>
  <c r="W8" i="2" s="1"/>
  <c r="M8" i="2"/>
  <c r="AA7" i="2"/>
  <c r="Z7" i="2"/>
  <c r="Y7" i="2"/>
  <c r="W7" i="2" s="1"/>
  <c r="M7" i="2"/>
  <c r="AA6" i="2"/>
  <c r="Z6" i="2"/>
  <c r="Y6" i="2"/>
  <c r="W6" i="2" s="1"/>
  <c r="M6" i="2"/>
  <c r="AA5" i="2"/>
  <c r="Z5" i="2"/>
  <c r="Y5" i="2"/>
  <c r="W5" i="2" s="1"/>
  <c r="Q5" i="2"/>
  <c r="M5" i="2"/>
  <c r="U5" i="2" s="1"/>
  <c r="AA4" i="2"/>
  <c r="Z4" i="2"/>
  <c r="Y4" i="2"/>
  <c r="W4" i="2"/>
  <c r="M4" i="2"/>
  <c r="AA3" i="2"/>
  <c r="Z3" i="2"/>
  <c r="Y3" i="2"/>
  <c r="W3" i="2" s="1"/>
  <c r="M3" i="2"/>
  <c r="AA2" i="2"/>
  <c r="Z2" i="2"/>
  <c r="Y2" i="2"/>
  <c r="W2" i="2" s="1"/>
  <c r="M2" i="2"/>
  <c r="F19" i="1"/>
  <c r="F17" i="1"/>
  <c r="F16" i="1"/>
  <c r="F15" i="1"/>
  <c r="I26" i="3" l="1"/>
  <c r="I28" i="3" a="1"/>
  <c r="I28" i="3" s="1"/>
  <c r="U101" i="2"/>
  <c r="Q101" i="2"/>
  <c r="U100" i="2"/>
  <c r="Q100" i="2"/>
  <c r="U99" i="2"/>
  <c r="Q99" i="2"/>
  <c r="U98" i="2"/>
  <c r="Q98" i="2"/>
  <c r="Q97" i="2"/>
  <c r="U97" i="2"/>
  <c r="U96" i="2"/>
  <c r="Q96" i="2"/>
  <c r="Q95" i="2"/>
  <c r="U95" i="2"/>
  <c r="U94" i="2"/>
  <c r="Q94" i="2"/>
  <c r="U93" i="2"/>
  <c r="Q93" i="2"/>
  <c r="Q92" i="2"/>
  <c r="U92" i="2"/>
  <c r="Q91" i="2"/>
  <c r="U91" i="2"/>
  <c r="U90" i="2"/>
  <c r="Q90" i="2"/>
  <c r="Q89" i="2"/>
  <c r="U89" i="2"/>
  <c r="Q88" i="2"/>
  <c r="U88" i="2"/>
  <c r="U87" i="2"/>
  <c r="Q87" i="2"/>
  <c r="Q86" i="2"/>
  <c r="U86" i="2"/>
  <c r="U85" i="2"/>
  <c r="Q85" i="2"/>
  <c r="Q84" i="2"/>
  <c r="U84" i="2"/>
  <c r="Q83" i="2"/>
  <c r="U83" i="2"/>
  <c r="U82" i="2"/>
  <c r="Q82" i="2"/>
  <c r="Q81" i="2"/>
  <c r="U81" i="2"/>
  <c r="Q80" i="2"/>
  <c r="U80" i="2"/>
  <c r="U79" i="2"/>
  <c r="Q79" i="2"/>
  <c r="U78" i="2"/>
  <c r="Q78" i="2"/>
  <c r="O5" i="3"/>
  <c r="O6" i="3"/>
  <c r="O16" i="3"/>
  <c r="O17" i="3"/>
  <c r="Q76" i="2"/>
  <c r="U76" i="2"/>
  <c r="Q75" i="2"/>
  <c r="U75" i="2"/>
  <c r="Q74" i="2"/>
  <c r="U74" i="2"/>
  <c r="U73" i="2"/>
  <c r="Q73" i="2"/>
  <c r="Q72" i="2"/>
  <c r="U72" i="2"/>
  <c r="U71" i="2"/>
  <c r="Q71" i="2"/>
  <c r="U70" i="2"/>
  <c r="Q70" i="2"/>
  <c r="Q69" i="2"/>
  <c r="U69" i="2"/>
  <c r="Q68" i="2"/>
  <c r="U68" i="2"/>
  <c r="Q67" i="2"/>
  <c r="U67" i="2"/>
  <c r="Q66" i="2"/>
  <c r="U66" i="2"/>
  <c r="U65" i="2"/>
  <c r="Q65" i="2"/>
  <c r="Q64" i="2"/>
  <c r="U64" i="2"/>
  <c r="Q63" i="2"/>
  <c r="U63" i="2"/>
  <c r="U62" i="2"/>
  <c r="Q62" i="2"/>
  <c r="Q61" i="2"/>
  <c r="U61" i="2"/>
  <c r="Q60" i="2"/>
  <c r="U60" i="2"/>
  <c r="U59" i="2"/>
  <c r="Q59" i="2"/>
  <c r="Q58" i="2"/>
  <c r="U58" i="2"/>
  <c r="Q57" i="2"/>
  <c r="U57" i="2"/>
  <c r="U56" i="2"/>
  <c r="Q56" i="2"/>
  <c r="U55" i="2"/>
  <c r="Q55" i="2"/>
  <c r="U54" i="2"/>
  <c r="Q54" i="2"/>
  <c r="U53" i="2"/>
  <c r="Q53" i="2"/>
  <c r="L16" i="3"/>
  <c r="L17" i="3"/>
  <c r="L6" i="3"/>
  <c r="L5" i="3"/>
  <c r="Q52" i="2"/>
  <c r="U52" i="2"/>
  <c r="Q51" i="2"/>
  <c r="U51" i="2"/>
  <c r="Q50" i="2"/>
  <c r="U50" i="2"/>
  <c r="Q49" i="2"/>
  <c r="U49" i="2"/>
  <c r="Q48" i="2"/>
  <c r="U48" i="2"/>
  <c r="U47" i="2"/>
  <c r="Q47" i="2"/>
  <c r="Q46" i="2"/>
  <c r="U46" i="2"/>
  <c r="Q45" i="2"/>
  <c r="U45" i="2"/>
  <c r="Q44" i="2"/>
  <c r="U44" i="2"/>
  <c r="U43" i="2"/>
  <c r="Q43" i="2"/>
  <c r="U42" i="2"/>
  <c r="Q42" i="2"/>
  <c r="Q40" i="2"/>
  <c r="U40" i="2"/>
  <c r="Q39" i="2"/>
  <c r="U39" i="2"/>
  <c r="U38" i="2"/>
  <c r="Q38" i="2"/>
  <c r="Q37" i="2"/>
  <c r="U37" i="2"/>
  <c r="U34" i="2"/>
  <c r="Q34" i="2"/>
  <c r="U33" i="2"/>
  <c r="Q33" i="2"/>
  <c r="U32" i="2"/>
  <c r="Q32" i="2"/>
  <c r="U31" i="2"/>
  <c r="Q31" i="2"/>
  <c r="Q29" i="2"/>
  <c r="U29" i="2"/>
  <c r="I6" i="3"/>
  <c r="I16" i="3"/>
  <c r="I17" i="3"/>
  <c r="I5" i="3"/>
  <c r="Q27" i="2"/>
  <c r="U27" i="2"/>
  <c r="U26" i="2"/>
  <c r="Q26" i="2"/>
  <c r="U25" i="2"/>
  <c r="Q25" i="2"/>
  <c r="U24" i="2"/>
  <c r="Q24" i="2"/>
  <c r="Q23" i="2"/>
  <c r="U23" i="2"/>
  <c r="U22" i="2"/>
  <c r="Q22" i="2"/>
  <c r="U21" i="2"/>
  <c r="Q21" i="2"/>
  <c r="Q20" i="2"/>
  <c r="U20" i="2"/>
  <c r="Q19" i="2"/>
  <c r="U19" i="2"/>
  <c r="Q18" i="2"/>
  <c r="U18" i="2"/>
  <c r="Q17" i="2"/>
  <c r="U17" i="2"/>
  <c r="Q16" i="2"/>
  <c r="U16" i="2"/>
  <c r="U15" i="2"/>
  <c r="Q15" i="2"/>
  <c r="Q14" i="2"/>
  <c r="U14" i="2"/>
  <c r="Q13" i="2"/>
  <c r="U13" i="2"/>
  <c r="U12" i="2"/>
  <c r="Q12" i="2"/>
  <c r="U11" i="2"/>
  <c r="Q11" i="2"/>
  <c r="U10" i="2"/>
  <c r="Q10" i="2"/>
  <c r="U9" i="2"/>
  <c r="Q9" i="2"/>
  <c r="Q8" i="2"/>
  <c r="U8" i="2"/>
  <c r="U7" i="2"/>
  <c r="Q7" i="2"/>
  <c r="Q6" i="2"/>
  <c r="U6" i="2"/>
  <c r="U4" i="2"/>
  <c r="Q4" i="2"/>
  <c r="Q3" i="2"/>
  <c r="U3" i="2"/>
  <c r="C5" i="3"/>
  <c r="F5" i="3"/>
  <c r="C6" i="3"/>
  <c r="F6" i="3"/>
  <c r="C16" i="3"/>
  <c r="F16" i="3"/>
  <c r="C17" i="3"/>
  <c r="F17" i="3"/>
  <c r="U2" i="2"/>
  <c r="Q2" i="2"/>
  <c r="O7" i="3" l="1"/>
  <c r="O14" i="3" s="1"/>
  <c r="O9" i="3"/>
  <c r="O11" i="3"/>
  <c r="O4" i="3"/>
  <c r="O8" i="3"/>
  <c r="O10" i="3"/>
  <c r="O25" i="3"/>
  <c r="O27" i="3"/>
  <c r="L8" i="3"/>
  <c r="L10" i="3"/>
  <c r="L25" i="3"/>
  <c r="L27" i="3"/>
  <c r="L7" i="3"/>
  <c r="L14" i="3" s="1"/>
  <c r="L9" i="3"/>
  <c r="L11" i="3"/>
  <c r="L4" i="3"/>
  <c r="I8" i="3"/>
  <c r="I10" i="3"/>
  <c r="I25" i="3"/>
  <c r="I27" i="3"/>
  <c r="I7" i="3"/>
  <c r="I9" i="3"/>
  <c r="I11" i="3" s="1"/>
  <c r="I12" i="3" s="1"/>
  <c r="I13" i="3" s="1"/>
  <c r="C4" i="3"/>
  <c r="C7" i="3" s="1"/>
  <c r="C9" i="3"/>
  <c r="C10" i="3"/>
  <c r="C11" i="3"/>
  <c r="C26" i="3"/>
  <c r="F4" i="3"/>
  <c r="F7" i="3" s="1"/>
  <c r="F14" i="3" s="1"/>
  <c r="F9" i="3"/>
  <c r="F11" i="3" s="1"/>
  <c r="F12" i="3" s="1"/>
  <c r="F13" i="3" s="1"/>
  <c r="F26" i="3"/>
  <c r="C8" i="3"/>
  <c r="C27" i="3"/>
  <c r="F8" i="3"/>
  <c r="F10" i="3"/>
  <c r="F25" i="3"/>
  <c r="C25" i="3" s="1"/>
  <c r="F27" i="3"/>
  <c r="O18" i="3"/>
  <c r="L18" i="3"/>
  <c r="I18" i="3"/>
  <c r="I29" i="3" s="1"/>
  <c r="C18" i="3"/>
  <c r="F18" i="3"/>
  <c r="O26" i="3" l="1"/>
  <c r="O28" i="3"/>
  <c r="O29" i="3"/>
  <c r="L26" i="3"/>
  <c r="L28" i="3"/>
  <c r="L29" i="3"/>
  <c r="C28" i="3"/>
  <c r="C29" i="3"/>
  <c r="F28" i="3"/>
  <c r="F29" i="3"/>
  <c r="L12" i="3"/>
  <c r="L13" i="3" s="1"/>
  <c r="I14" i="3"/>
  <c r="O12" i="3"/>
  <c r="O13" i="3" s="1"/>
  <c r="C12" i="3"/>
  <c r="C13" i="3" s="1"/>
  <c r="C14"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User</author>
    <author>SDaigle</author>
  </authors>
  <commentList>
    <comment ref="A1" authorId="0" shapeId="0" xr:uid="{00000000-0006-0000-0100-000001000000}">
      <text>
        <r>
          <rPr>
            <sz val="11"/>
            <color theme="1"/>
            <rFont val="Calibri"/>
            <family val="2"/>
            <scheme val="minor"/>
          </rPr>
          <t xml:space="preserve">Admin:
Underlying stock symbol
</t>
        </r>
      </text>
    </comment>
    <comment ref="B1" authorId="0" shapeId="0" xr:uid="{00000000-0006-0000-0100-000002000000}">
      <text>
        <r>
          <rPr>
            <sz val="11"/>
            <color theme="1"/>
            <rFont val="Calibri"/>
            <family val="2"/>
            <scheme val="minor"/>
          </rPr>
          <t>Admin:
What is the trading system or advisory service used to take the trade? The trade source is located in colume AC starting with row 11 and ending with row 20. Input your trading systems in this colume.</t>
        </r>
      </text>
    </comment>
    <comment ref="C1" authorId="0" shapeId="0" xr:uid="{00000000-0006-0000-0100-000003000000}">
      <text>
        <r>
          <rPr>
            <sz val="11"/>
            <color theme="1"/>
            <rFont val="Calibri"/>
            <family val="2"/>
            <scheme val="minor"/>
          </rPr>
          <t>Admin:
What type of trade:
Option Trading, i.e. Call, Covered Call, Put, Cash Put, or spreads: ie bull put, butterfly, verticle, etc.
Stock Trading, i.e. Buy or Sell</t>
        </r>
      </text>
    </comment>
    <comment ref="D1" authorId="0" shapeId="0" xr:uid="{00000000-0006-0000-0100-000004000000}">
      <text>
        <r>
          <rPr>
            <sz val="11"/>
            <color theme="1"/>
            <rFont val="Calibri"/>
            <family val="2"/>
            <scheme val="minor"/>
          </rPr>
          <t>Admin:
For Debits: enter Long
For Credits: enter Short
This is important for the spreadsheet to work.</t>
        </r>
      </text>
    </comment>
    <comment ref="F1" authorId="1" shapeId="0" xr:uid="{00000000-0006-0000-0100-000005000000}">
      <text>
        <r>
          <rPr>
            <sz val="11"/>
            <color theme="1"/>
            <rFont val="Calibri"/>
            <family val="2"/>
            <scheme val="minor"/>
          </rPr>
          <t>User:
This is the current stock price at the time one places the trade.</t>
        </r>
      </text>
    </comment>
    <comment ref="G1" authorId="0" shapeId="0" xr:uid="{00000000-0006-0000-0100-000006000000}">
      <text>
        <r>
          <rPr>
            <sz val="11"/>
            <color theme="1"/>
            <rFont val="Calibri"/>
            <family val="2"/>
            <scheme val="minor"/>
          </rPr>
          <t>Admin:
The date you entered the trade: dd/mmm/yyyy</t>
        </r>
      </text>
    </comment>
    <comment ref="H1" authorId="0" shapeId="0" xr:uid="{00000000-0006-0000-0100-000007000000}">
      <text>
        <r>
          <rPr>
            <sz val="11"/>
            <color theme="1"/>
            <rFont val="Calibri"/>
            <family val="2"/>
            <scheme val="minor"/>
          </rPr>
          <t>Admin:
This field should be expressed as an option price not including commission.
Example: 2 contracts cost $46.00.
=$46/2/100 = $0.23 So enter 0.23 in this field.</t>
        </r>
      </text>
    </comment>
    <comment ref="I1" authorId="0" shapeId="0" xr:uid="{00000000-0006-0000-0100-000008000000}">
      <text>
        <r>
          <rPr>
            <sz val="11"/>
            <color theme="1"/>
            <rFont val="Calibri"/>
            <family val="2"/>
            <scheme val="minor"/>
          </rPr>
          <t xml:space="preserve">Admin:
How many contracts did you trade?
</t>
        </r>
      </text>
    </comment>
    <comment ref="J1" authorId="1" shapeId="0" xr:uid="{00000000-0006-0000-0100-000009000000}">
      <text>
        <r>
          <rPr>
            <sz val="11"/>
            <color theme="1"/>
            <rFont val="Calibri"/>
            <family val="2"/>
            <scheme val="minor"/>
          </rPr>
          <t xml:space="preserve">User:
For Covvered Calls (CC) the exit $ is calculated: -(strike-price you paid for stock.) If profitiable this will be a negative number. If a loss this will be a positive number. </t>
        </r>
      </text>
    </comment>
    <comment ref="K1" authorId="0" shapeId="0" xr:uid="{00000000-0006-0000-0100-00000A000000}">
      <text>
        <r>
          <rPr>
            <sz val="11"/>
            <color theme="1"/>
            <rFont val="Calibri"/>
            <family val="2"/>
            <scheme val="minor"/>
          </rPr>
          <t>Admin:
How many contracts you closed on Exit #1</t>
        </r>
      </text>
    </comment>
    <comment ref="L1" authorId="0" shapeId="0" xr:uid="{00000000-0006-0000-0100-00000B000000}">
      <text>
        <r>
          <rPr>
            <sz val="11"/>
            <color theme="1"/>
            <rFont val="Calibri"/>
            <family val="2"/>
            <scheme val="minor"/>
          </rPr>
          <t>Admin:
The date Exit #1 executed dd/mmm/yyyy</t>
        </r>
      </text>
    </comment>
    <comment ref="N1" authorId="2" shapeId="0" xr:uid="{00000000-0006-0000-0100-00000C000000}">
      <text>
        <r>
          <rPr>
            <sz val="11"/>
            <color theme="1"/>
            <rFont val="Calibri"/>
            <family val="2"/>
            <scheme val="minor"/>
          </rPr>
          <t xml:space="preserve">SDaigle:
For Covvered Calls (CC) the exit $ is calculated: -(strike-price you paid for stock.) If profitiable this will be a negative number. If a loss this will be a positive number. </t>
        </r>
      </text>
    </comment>
    <comment ref="O1" authorId="0" shapeId="0" xr:uid="{00000000-0006-0000-0100-00000D000000}">
      <text>
        <r>
          <rPr>
            <sz val="11"/>
            <color theme="1"/>
            <rFont val="Calibri"/>
            <family val="2"/>
            <scheme val="minor"/>
          </rPr>
          <t>Admin:
How many contracts you closed on Exit #2</t>
        </r>
      </text>
    </comment>
    <comment ref="P1" authorId="0" shapeId="0" xr:uid="{00000000-0006-0000-0100-00000E000000}">
      <text>
        <r>
          <rPr>
            <sz val="11"/>
            <color theme="1"/>
            <rFont val="Calibri"/>
            <family val="2"/>
            <scheme val="minor"/>
          </rPr>
          <t>Admin:
The date Exit #2 executed
dd/mmm/yyyy</t>
        </r>
      </text>
    </comment>
    <comment ref="R1" authorId="2" shapeId="0" xr:uid="{00000000-0006-0000-0100-00000F000000}">
      <text>
        <r>
          <rPr>
            <sz val="11"/>
            <color theme="1"/>
            <rFont val="Calibri"/>
            <family val="2"/>
            <scheme val="minor"/>
          </rPr>
          <t xml:space="preserve">SDaigle:
For Covvered Calls (CC) the exit $ is calculated: -(strike-price you paid for stock.) If profitiable this will be a negative number. If a loss this will be a positive number. </t>
        </r>
      </text>
    </comment>
    <comment ref="S1" authorId="0" shapeId="0" xr:uid="{00000000-0006-0000-0100-000010000000}">
      <text>
        <r>
          <rPr>
            <sz val="11"/>
            <color theme="1"/>
            <rFont val="Calibri"/>
            <family val="2"/>
            <scheme val="minor"/>
          </rPr>
          <t>Admin:
How many contracts you closed on Exit #2</t>
        </r>
      </text>
    </comment>
    <comment ref="T1" authorId="0" shapeId="0" xr:uid="{00000000-0006-0000-0100-000011000000}">
      <text>
        <r>
          <rPr>
            <sz val="11"/>
            <color theme="1"/>
            <rFont val="Calibri"/>
            <family val="2"/>
            <scheme val="minor"/>
          </rPr>
          <t>Admin:
The date Exit #2 executed dd/mmm/yyyy</t>
        </r>
      </text>
    </comment>
    <comment ref="V1" authorId="1" shapeId="0" xr:uid="{00000000-0006-0000-0100-000012000000}">
      <text>
        <r>
          <rPr>
            <sz val="11"/>
            <color theme="1"/>
            <rFont val="Calibri"/>
            <family val="2"/>
            <scheme val="minor"/>
          </rPr>
          <t>User:
This is the price one is charged for making the trade.</t>
        </r>
      </text>
    </comment>
    <comment ref="X1" authorId="0" shapeId="0" xr:uid="{00000000-0006-0000-0100-000013000000}">
      <text>
        <r>
          <rPr>
            <sz val="11"/>
            <color theme="1"/>
            <rFont val="Calibri"/>
            <family val="2"/>
            <scheme val="minor"/>
          </rPr>
          <t>Admin:
Anything about the trade that you may want to reference down the road when analyzing previous results.
This is a good place to record cost of the trade, strike prices, etc.</t>
        </r>
      </text>
    </comment>
    <comment ref="AC2" authorId="1" shapeId="0" xr:uid="{00000000-0006-0000-0100-000014000000}">
      <text>
        <r>
          <rPr>
            <sz val="11"/>
            <color theme="1"/>
            <rFont val="Calibri"/>
            <family val="2"/>
            <scheme val="minor"/>
          </rPr>
          <t>User:
Do not delete!
Used as the reference for Column D.</t>
        </r>
      </text>
    </comment>
    <comment ref="AC3" authorId="1" shapeId="0" xr:uid="{00000000-0006-0000-0100-000015000000}">
      <text>
        <r>
          <rPr>
            <sz val="11"/>
            <color theme="1"/>
            <rFont val="Calibri"/>
            <family val="2"/>
            <scheme val="minor"/>
          </rPr>
          <t>User:
Do not delete!
Used as the reference for Column 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E2" authorId="0" shapeId="0" xr:uid="{00000000-0006-0000-0200-000001000000}">
      <text>
        <r>
          <rPr>
            <sz val="11"/>
            <color theme="1"/>
            <rFont val="Calibri"/>
            <family val="2"/>
            <scheme val="minor"/>
          </rPr>
          <t>User:
Trades from K2-K26</t>
        </r>
      </text>
    </comment>
    <comment ref="H2" authorId="0" shapeId="0" xr:uid="{00000000-0006-0000-0200-000002000000}">
      <text>
        <r>
          <rPr>
            <sz val="11"/>
            <color theme="1"/>
            <rFont val="Calibri"/>
            <family val="2"/>
            <scheme val="minor"/>
          </rPr>
          <t>User:
Trades from K27-K51</t>
        </r>
      </text>
    </comment>
    <comment ref="K2" authorId="0" shapeId="0" xr:uid="{00000000-0006-0000-0200-000003000000}">
      <text>
        <r>
          <rPr>
            <sz val="11"/>
            <color theme="1"/>
            <rFont val="Calibri"/>
            <family val="2"/>
            <scheme val="minor"/>
          </rPr>
          <t>User:
Trades from K52-K76</t>
        </r>
      </text>
    </comment>
    <comment ref="N2" authorId="0" shapeId="0" xr:uid="{00000000-0006-0000-0200-000004000000}">
      <text>
        <r>
          <rPr>
            <sz val="11"/>
            <color theme="1"/>
            <rFont val="Calibri"/>
            <family val="2"/>
            <scheme val="minor"/>
          </rPr>
          <t>User:
Trades from K77-K101</t>
        </r>
      </text>
    </comment>
  </commentList>
</comments>
</file>

<file path=xl/sharedStrings.xml><?xml version="1.0" encoding="utf-8"?>
<sst xmlns="http://schemas.openxmlformats.org/spreadsheetml/2006/main" count="441" uniqueCount="247">
  <si>
    <t>Tur+A1:A53</t>
  </si>
  <si>
    <t>Date</t>
  </si>
  <si>
    <t>User Request</t>
  </si>
  <si>
    <t>Action Taken</t>
  </si>
  <si>
    <t>Details</t>
  </si>
  <si>
    <t>Outcome</t>
  </si>
  <si>
    <t>User asked to identify and fix errors in the Dashboard of their Options Trading Log.</t>
  </si>
  <si>
    <t>Found and fixed 5 formula errors (#VALUE! and #DIV/0!) across the Dashboard, plus 4 proactive fixes to prevent future errors.</t>
  </si>
  <si>
    <t>Errors fixed: (1) L14 &amp; O14 Breakeven % — #DIV/0! from dividing text "0" by "0"; wrapped in IF(OR(...)). (2) I25 Loss-to-Risk Ratio — #VALUE! from dividing by empty I24 (no Beginning Equity entered); added OR check for empty/zero. (3) C25 Cumulative Loss-to-Risk — #VALUE! cascading from I25; wrapped in IFERROR. (4) I29 Net Return % — #DIV/0! from empty I22 equity; added OR check. Proactive fixes: L25, L29, O25, O29 to prevent same issues in Trades 51-75 and 76-100 sections.</t>
  </si>
  <si>
    <t>All 5 error cells now return valid values. 4 additional cells proactively hardened. Dashboard is error-free.</t>
  </si>
  <si>
    <t>User asked how to interpret Breakeven % values greater than 100% (172.73%, 177.78%, 150%).</t>
  </si>
  <si>
    <t>Explained the Breakeven % formula (% Losers / % Winners) and what &gt;100% means for their trading.</t>
  </si>
  <si>
    <t>Breakeven % = % Losers / % Winners. Values &gt;100% mean you have more losers than winners. E.g., 172.73% means for every 1 winner there are ~1.73 losers. This is NOT a problem IF the R-to-R ratio compensates — and in this case it does (3.63x cumulative). The key insight: Breakeven % tells you the minimum R-to-R ratio needed to break even.</t>
  </si>
  <si>
    <t>Educational explanation provided. No spreadsheet changes made. User's trading system is profitable despite &gt;100% breakeven because winners are much larger than losers.</t>
  </si>
  <si>
    <t>User asked to save the entire session into a Claude Desktop project.</t>
  </si>
  <si>
    <t>Explained limitation: cannot export files or connect to external apps. Offered 3 workarounds.</t>
  </si>
  <si>
    <t>Suggested: (1) Copy Claude Log sheet contents into a Claude Desktop Project Knowledge file, (2) Copy chat text directly, (3) Save the workbook which already contains the Claude Log.</t>
  </si>
  <si>
    <t>Awaiting user decision on whether to expand the Claude Log for better standalone reference.</t>
  </si>
  <si>
    <t>User confirmed they want the Claude Log expanded for standalone reference.</t>
  </si>
  <si>
    <t>Expanded Claude Log with full session summary: error table with root causes &amp; fixes, Breakeven % interpretation with stats tables, R-to-R analysis, and copy-to-Claude-Desktop instructions.</t>
  </si>
  <si>
    <t>Added: Session Summary header (rows 6-9), Turn 1 detail with 5-row error table (rows 11-22), Turn 2 detail with win/loss stats + R-to-R comparison tables (rows 24-42), Turn 3-4 summary (rows 44-47), Copy instructions (rows 49-53).</t>
  </si>
  <si>
    <t>Claude Log is now a self-contained session reference. User can select A1:F53, copy, and paste into Claude Desktop Project Knowledge.</t>
  </si>
  <si>
    <t>SESSION SUMMARY — Feb 22, 2026</t>
  </si>
  <si>
    <t>File</t>
  </si>
  <si>
    <t>D_020_2026_AJZ_Strategies_Options_Log_V1.xlsx</t>
  </si>
  <si>
    <t>Sheets</t>
  </si>
  <si>
    <t>Trade Log 2026 (30 trades, rows 2-31) | Dashboard (summary stats in 5 sections: Cumulative, Trades 1-25, 26-50, 51-75, 76-100)</t>
  </si>
  <si>
    <t>Turns</t>
  </si>
  <si>
    <t>4 turns total</t>
  </si>
  <si>
    <t>TURN 1: ERROR IDENTIFICATION &amp; FIXES</t>
  </si>
  <si>
    <t>Request:</t>
  </si>
  <si>
    <t>User asked to identify and fix all errors in the Dashboard.</t>
  </si>
  <si>
    <t>Error #</t>
  </si>
  <si>
    <t>Cell</t>
  </si>
  <si>
    <t>Error Type</t>
  </si>
  <si>
    <t>Root Cause</t>
  </si>
  <si>
    <t>Fix Applied</t>
  </si>
  <si>
    <t>Dashboard!L14 (Breakeven %, Trades 51-75)</t>
  </si>
  <si>
    <t>% Winners (L7) and % Losers (L8) return text "0" not numeric 0. "0"/"0" = #DIV/0!</t>
  </si>
  <si>
    <t>Dashboard!O14 (Breakeven %, Trades 76-100)</t>
  </si>
  <si>
    <t>Same as L14 — text "0" division</t>
  </si>
  <si>
    <t>Dashboard!I25 (Loss-to-Risk, Trades 26-50)</t>
  </si>
  <si>
    <t>I22 (Beginning Equity) empty → I24="" → I10/"" = #VALUE!</t>
  </si>
  <si>
    <t>Dashboard!C25 (Cumulative Loss-to-Risk)</t>
  </si>
  <si>
    <t>Cascading: formula compared I25=0% but I25 was #VALUE!</t>
  </si>
  <si>
    <t>Wrapped in IFERROR(...,0)</t>
  </si>
  <si>
    <t>Dashboard!I29 (Net Return %, Trades 26-50)</t>
  </si>
  <si>
    <t>I22 (Beginning Equity) empty → I18/"" = #DIV/0!</t>
  </si>
  <si>
    <t>Proactive Fixes:</t>
  </si>
  <si>
    <t>L25, L29, O25, O29 — Same empty-equity vulnerability in Trades 51-75 and 76-100. Applied identical OR() guards to prevent future #VALUE! and #DIV/0! when those sections populate.</t>
  </si>
  <si>
    <t>User Action:</t>
  </si>
  <si>
    <t>User filled in Beginning Equity ($35,000) and Trade Risk % (1.5%) for I22:I23, L22:L23, O22:O23 after the fix.</t>
  </si>
  <si>
    <t>TURN 2: BREAKEVEN % INTERPRETATION</t>
  </si>
  <si>
    <t>User asked how to interpret Breakeven % values &gt; 100% (displayed as 172.73%, 177.78%, 150%).</t>
  </si>
  <si>
    <t>Formula:</t>
  </si>
  <si>
    <t>Breakeven % = % Losers / % Winners (e.g. C14 = C8/C7)</t>
  </si>
  <si>
    <t>Interpretation:</t>
  </si>
  <si>
    <t>Breakeven % &gt; 100% means you have MORE losing trades than winning trades. Specifically:</t>
  </si>
  <si>
    <t>Section</t>
  </si>
  <si>
    <t>Win Rate</t>
  </si>
  <si>
    <t>Loss Rate</t>
  </si>
  <si>
    <t>Breakeven %</t>
  </si>
  <si>
    <t>Meaning</t>
  </si>
  <si>
    <t>Cumulative (30 trades)</t>
  </si>
  <si>
    <t>36.7% (11W)</t>
  </si>
  <si>
    <t>63.3% (19L)</t>
  </si>
  <si>
    <t>For every 1 winner, ~1.73 losers</t>
  </si>
  <si>
    <t>Trades 1-25</t>
  </si>
  <si>
    <t>36.0% (9W)</t>
  </si>
  <si>
    <t>64.0% (16L)</t>
  </si>
  <si>
    <t>For every 1 winner, ~1.78 losers</t>
  </si>
  <si>
    <t>Trades 26-50 (5 trades)</t>
  </si>
  <si>
    <t>40.0% (2W)</t>
  </si>
  <si>
    <t>60.0% (3L)</t>
  </si>
  <si>
    <t>For every 1 winner, 1.5 losers</t>
  </si>
  <si>
    <t>Key Insight:</t>
  </si>
  <si>
    <t>A high Breakeven % is ONLY a problem if your R-to-R Ratio doesn't compensate. The rule: R-to-R Ratio must exceed Breakeven % for profitability.</t>
  </si>
  <si>
    <t>Avg. Win</t>
  </si>
  <si>
    <t>Avg. Loss</t>
  </si>
  <si>
    <t>R-to-R Ratio</t>
  </si>
  <si>
    <t>vs. Breakeven % → Verdict</t>
  </si>
  <si>
    <t>Cumulative</t>
  </si>
  <si>
    <t>3.63x</t>
  </si>
  <si>
    <t>3.63x &gt; 1.73x → PROFITABLE ✓</t>
  </si>
  <si>
    <t>3.45x</t>
  </si>
  <si>
    <t>3.45x &gt; 1.78x → PROFITABLE ✓</t>
  </si>
  <si>
    <t>Trades 26-50</t>
  </si>
  <si>
    <t>7.65x</t>
  </si>
  <si>
    <t>7.65x &gt; 1.50x → VERY PROFITABLE ✓</t>
  </si>
  <si>
    <t>Conclusion:</t>
  </si>
  <si>
    <t>The trading system wins only ~37% of the time but winners are 3.6x larger than losers. This is a classic "let winners run, cut losers fast" profile. The system has a ~2x safety margin above breakeven.</t>
  </si>
  <si>
    <t>TURN 3-4: SESSION EXPORT REQUEST</t>
  </si>
  <si>
    <t>User wanted to save the session to a Claude Desktop project.</t>
  </si>
  <si>
    <t>Limitation:</t>
  </si>
  <si>
    <t>Excel add-in cannot export files or connect to external apps.</t>
  </si>
  <si>
    <t>Solution:</t>
  </si>
  <si>
    <t>Expanded this Claude Log sheet with full session details so user can copy/paste into Claude Desktop project. The log is self-contained and readable as a standalone reference.</t>
  </si>
  <si>
    <t>HOW TO COPY TO CLAUDE DESKTOP</t>
  </si>
  <si>
    <t>Step 1:</t>
  </si>
  <si>
    <t>Select cells A1:F47 on this sheet (or the range you want)</t>
  </si>
  <si>
    <t>Step 2:</t>
  </si>
  <si>
    <t>Press Ctrl+C (or Cmd+C on Mac) to copy</t>
  </si>
  <si>
    <t>Step 3:</t>
  </si>
  <si>
    <t>Open Claude Desktop → Create or open a Project → Go to Project Knowledge</t>
  </si>
  <si>
    <t>Step 4:</t>
  </si>
  <si>
    <t>Click "Add Content" → Paste the copied data. Name it "Options Log Session - Feb 22 2026"</t>
  </si>
  <si>
    <t>Symbol</t>
  </si>
  <si>
    <t>System</t>
  </si>
  <si>
    <t>Trade Type</t>
  </si>
  <si>
    <t>Long/Short</t>
  </si>
  <si>
    <t>Strike</t>
  </si>
  <si>
    <t>Cur Stock $</t>
  </si>
  <si>
    <t>Trade Date</t>
  </si>
  <si>
    <t>Entry $$</t>
  </si>
  <si>
    <t>Contracts</t>
  </si>
  <si>
    <t>Exit #1 $</t>
  </si>
  <si>
    <t># Exited</t>
  </si>
  <si>
    <t>Exit Date</t>
  </si>
  <si>
    <t># of Days</t>
  </si>
  <si>
    <t>Exit #2 $</t>
  </si>
  <si>
    <t># Exited2</t>
  </si>
  <si>
    <t>Exit Date3</t>
  </si>
  <si>
    <t># of Days4</t>
  </si>
  <si>
    <t>Exit #3 $</t>
  </si>
  <si>
    <t># Exited5</t>
  </si>
  <si>
    <t>Exit Date6</t>
  </si>
  <si>
    <t># of Days7</t>
  </si>
  <si>
    <t>Comm.</t>
  </si>
  <si>
    <t>Gain/Loss</t>
  </si>
  <si>
    <t>Trade Comments</t>
  </si>
  <si>
    <t>Exit #1</t>
  </si>
  <si>
    <t>Exit #2</t>
  </si>
  <si>
    <t>Exit #3</t>
  </si>
  <si>
    <t>AAPL</t>
  </si>
  <si>
    <t>TOS_Import</t>
  </si>
  <si>
    <t>CALL</t>
  </si>
  <si>
    <t>Long</t>
  </si>
  <si>
    <t>ADI</t>
  </si>
  <si>
    <t>P_118</t>
  </si>
  <si>
    <t>Short</t>
  </si>
  <si>
    <t>AMD</t>
  </si>
  <si>
    <t>Covered Call Exercised Win</t>
  </si>
  <si>
    <t>Exercised Loss</t>
  </si>
  <si>
    <t>AMT</t>
  </si>
  <si>
    <t>P_920</t>
  </si>
  <si>
    <t>PUT</t>
  </si>
  <si>
    <t>Buybacks</t>
  </si>
  <si>
    <t>AMZN</t>
  </si>
  <si>
    <t>Not Exercised Win</t>
  </si>
  <si>
    <t>APLD</t>
  </si>
  <si>
    <t>Option CALL Wins</t>
  </si>
  <si>
    <t>AZN</t>
  </si>
  <si>
    <t>Trading Systems</t>
  </si>
  <si>
    <t>BG</t>
  </si>
  <si>
    <t>48Hr</t>
  </si>
  <si>
    <t>48 hour PUT Trades</t>
  </si>
  <si>
    <t>COIN</t>
  </si>
  <si>
    <t>MW</t>
  </si>
  <si>
    <t>Meta Wealth</t>
  </si>
  <si>
    <t>COMP</t>
  </si>
  <si>
    <t>OFI</t>
  </si>
  <si>
    <t>Options for Income</t>
  </si>
  <si>
    <t>EVTL</t>
  </si>
  <si>
    <t>SMD</t>
  </si>
  <si>
    <t>Steven Daigle Trades</t>
  </si>
  <si>
    <t>GFS</t>
  </si>
  <si>
    <t>SPT</t>
  </si>
  <si>
    <t>Schaeffer Power Trend</t>
  </si>
  <si>
    <t>GOOG</t>
  </si>
  <si>
    <t>VPAI</t>
  </si>
  <si>
    <t>Vantage Point AI</t>
  </si>
  <si>
    <t>WIA</t>
  </si>
  <si>
    <t>Weekly Income Accelator</t>
  </si>
  <si>
    <t>WPMP</t>
  </si>
  <si>
    <t>Wealthpop Mesh Prime</t>
  </si>
  <si>
    <t>IBM</t>
  </si>
  <si>
    <t>ILMN</t>
  </si>
  <si>
    <t>INTC</t>
  </si>
  <si>
    <t>JMIA</t>
  </si>
  <si>
    <t>P_910</t>
  </si>
  <si>
    <t>MU</t>
  </si>
  <si>
    <t>SOC</t>
  </si>
  <si>
    <t>SPY</t>
  </si>
  <si>
    <t>UNH</t>
  </si>
  <si>
    <t>VSAT</t>
  </si>
  <si>
    <t>XLB</t>
  </si>
  <si>
    <t>End of Formulas</t>
  </si>
  <si>
    <t>Edited by Steven Daigle 15May2024</t>
  </si>
  <si>
    <t>Updated 5Oct2025  Do NOT Cut, Paste, or Input into the Gray areas.</t>
  </si>
  <si>
    <t>To unlock the file go to REVIEW, Unprotect Sheet, press Enter or Return</t>
  </si>
  <si>
    <t>Cumulative Results</t>
  </si>
  <si>
    <t>Trades 51-75</t>
  </si>
  <si>
    <t>Trades 76-100</t>
  </si>
  <si>
    <t># of Trades</t>
  </si>
  <si>
    <t># of Winners</t>
  </si>
  <si>
    <t># of Losers</t>
  </si>
  <si>
    <t>% Winners</t>
  </si>
  <si>
    <t>% Losers</t>
  </si>
  <si>
    <t>Avg. $ Win</t>
  </si>
  <si>
    <t>Avg. $ Loss</t>
  </si>
  <si>
    <t>Expectancy %</t>
  </si>
  <si>
    <t>Kelly %</t>
  </si>
  <si>
    <t>Net Gains</t>
  </si>
  <si>
    <t>Net Losses</t>
  </si>
  <si>
    <t>Net Profit/Loss</t>
  </si>
  <si>
    <t>Contextual Info:</t>
  </si>
  <si>
    <t>Beginning Equity</t>
  </si>
  <si>
    <t>Trade Risk %</t>
  </si>
  <si>
    <t>Risk per Trade</t>
  </si>
  <si>
    <t>Loss-to-Risk Ratio</t>
  </si>
  <si>
    <t>Avg. Days in Winners</t>
  </si>
  <si>
    <t>Avg. Days in Losers</t>
  </si>
  <si>
    <t>Days after Scale out</t>
  </si>
  <si>
    <t>Net Return %</t>
  </si>
  <si>
    <t>Beginning Date</t>
  </si>
  <si>
    <t>End Date</t>
  </si>
  <si>
    <t>Edited by Steven Daigle 30Sep2024</t>
  </si>
  <si>
    <t>For the Dashboard to function correctly, one must fill in the gray boxes with their beginning equity and trade risk %.</t>
  </si>
  <si>
    <t>I still need to work on the End Date formula. Everything else has been checked.</t>
  </si>
  <si>
    <t>I am working on a complete narrative to explain what these terms mean and how one should evaluate them to improve ones trading plan.</t>
  </si>
  <si>
    <t>If one finds an error or has a question, please send me a message under members in Circle.</t>
  </si>
  <si>
    <t>Day</t>
  </si>
  <si>
    <t>User asked how to update a filter on a column in Excel.</t>
  </si>
  <si>
    <t>Provided instructions for both manual UI filtering and programmatic filtering via Claude/Office.js.</t>
  </si>
  <si>
    <t>Explained: (1) Manual approach using filter dropdowns, sort, text/number filters, search box. (2) Offered to programmatically apply/clear/change filters on Trade Log 2026 using Office.js. Asked user which column and criteria they want filtered.</t>
  </si>
  <si>
    <t>Awaiting user response with specific column and filter criteria to apply.</t>
  </si>
  <si>
    <t>User asked to add an additional filter on a column (Column B - System).</t>
  </si>
  <si>
    <t>Investigated existing filter state. Found data is in an Excel Table ('TableLog') with filter dropdowns already enabled on all 27 columns.</t>
  </si>
  <si>
    <t>AutoFilter dropdowns are already active via the TableLog table (A1:AA105). showFilterButton=true. No programmatic filter criteria applied yet. Instructed user how to use the dropdown on Column B to filter by trading system.</t>
  </si>
  <si>
    <t>Filter dropdowns confirmed active. Awaiting user if they want a specific filter criteria applied programmatically.</t>
  </si>
  <si>
    <t>User asked to remove the filter entirely from the Trade Log 2026 sheet.</t>
  </si>
  <si>
    <t>Disabled filter dropdown arrows on the TableLog table by setting showFilterButton = false.</t>
  </si>
  <si>
    <t>Used Office.js to set table.showFilterButton = false on TableLog (A1:AA105). Table structure and data preserved; only the filter dropdown arrows were removed from all column headers.</t>
  </si>
  <si>
    <t>Filter dropdowns successfully removed. Table and data intact. Can be re-enabled if needed.</t>
  </si>
  <si>
    <t>User tried to enter 'Day' in B2 but was blocked. Thought it was the filter, but it was actually Data Validation restricting input to a list.</t>
  </si>
  <si>
    <t>Diagnosed issue as List Data Validation (source: AC11:AC20). Added 'Day' to AC19 to make it an allowed value in the Column B dropdown.</t>
  </si>
  <si>
    <t>Column B has List validation sourced from $AC$11:$AC$20 (Trading Systems). Existing values: 48Hr, MW, OFI, SMD, SPT, VPAI, WIA, WPMP. Added 'Day' to AC19. One empty slot remains (AC20). Error style was 'Stop' which blocks non-list entries.</t>
  </si>
  <si>
    <t>Day' is now a valid option in the Column B dropdown. User can select it in B2 or any Column B cell. 1 empty slot (AC20) remains for future systems.</t>
  </si>
  <si>
    <t>User requested to remove data validation entirely from Column B (System).</t>
  </si>
  <si>
    <t>Cleared data validation from B2:B105 using dataValidation.clear().</t>
  </si>
  <si>
    <t>Removed List validation (source: $AC$11:$AC$20) from all Column B data cells. Trading Systems reference list in AC11:AC20 left intact for potential future use.</t>
  </si>
  <si>
    <t>Column B now accepts any typed value. No dropdown restriction. Source list preserved in AC11:AC20 if re-enabling is needed later.</t>
  </si>
  <si>
    <t>P_116</t>
  </si>
  <si>
    <t>P_117</t>
  </si>
  <si>
    <t>P_115</t>
  </si>
  <si>
    <t>P_110</t>
  </si>
  <si>
    <t>P_010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</si>
</sst>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8" formatCode="&quot;$&quot;#,##0.00_);[Red]\(&quot;$&quot;#,##0.00\)"/>
    <numFmt numFmtId="164" formatCode="&quot;$&quot;#,##0.00"/>
    <numFmt numFmtId="165" formatCode="&quot;$&quot;#,##0"/>
    <numFmt numFmtId="166" formatCode="0.0%"/>
    <numFmt numFmtId="167" formatCode="m/d/yy;@"/>
    <numFmt numFmtId="168" formatCode="[$-409]dd\-mmm\-yy;@"/>
    <numFmt numFmtId="169" formatCode="0.00_);[Red]\(0.00\)"/>
    <numFmt numFmtId="170" formatCode="dd\-mmm\-yy"/>
  </numFmts>
  <fonts count="12" x14ac:knownFonts="1">
    <font>
      <sz val="11"/>
      <color theme="1"/>
      <name val="Calibri"/>
      <family val="2"/>
      <scheme val="minor"/>
    </font>
    <font>
      <b/>
      <sz val="10"/>
      <name val="Arial"/>
      <family val="2"/>
    </font>
    <font>
      <b/>
      <sz val="11"/>
      <color theme="1"/>
      <name val="Calibri"/>
      <family val="2"/>
      <scheme val="minor"/>
    </font>
    <font>
      <b/>
      <sz val="14"/>
      <color theme="1"/>
      <name val="Calibri"/>
      <family val="2"/>
      <scheme val="minor"/>
    </font>
    <font>
      <sz val="14"/>
      <color theme="1"/>
      <name val="Calibri"/>
      <family val="2"/>
      <scheme val="minor"/>
    </font>
    <font>
      <sz val="12"/>
      <color theme="1"/>
      <name val="Calibri"/>
      <family val="2"/>
      <scheme val="minor"/>
    </font>
    <font>
      <sz val="11"/>
      <color rgb="FFFF0000"/>
      <name val="Calibri"/>
      <family val="2"/>
      <scheme val="minor"/>
    </font>
    <font>
      <sz val="11"/>
      <color rgb="FF00B050"/>
      <name val="Calibri"/>
      <family val="2"/>
      <scheme val="minor"/>
    </font>
    <font>
      <sz val="11"/>
      <name val="Calibri"/>
      <family val="2"/>
      <scheme val="minor"/>
    </font>
    <font>
      <b/>
      <sz val="11"/>
      <color rgb="FFFFFFFF"/>
      <name val="Calibri"/>
      <family val="2"/>
      <scheme val="minor"/>
    </font>
    <font>
      <b/>
      <sz val="13"/>
      <color rgb="FFFFFFFF"/>
      <name val="Calibri"/>
      <family val="2"/>
      <scheme val="minor"/>
    </font>
    <font>
      <sz val="11"/>
      <color rgb="FF2F5496"/>
      <name val="Calibri"/>
      <family val="2"/>
      <scheme val="minor"/>
    </font>
  </fonts>
  <fills count="13">
    <fill>
      <patternFill patternType="none"/>
    </fill>
    <fill>
      <patternFill patternType="gray125"/>
    </fill>
    <fill>
      <patternFill patternType="solid">
        <fgColor theme="2"/>
        <bgColor indexed="64"/>
      </patternFill>
    </fill>
    <fill>
      <patternFill patternType="solid">
        <fgColor theme="0" tint="-0.499984740745262"/>
        <bgColor indexed="64"/>
      </patternFill>
    </fill>
    <fill>
      <patternFill patternType="solid">
        <fgColor theme="0" tint="-4.9989318521683403E-2"/>
        <bgColor indexed="64"/>
      </patternFill>
    </fill>
    <fill>
      <patternFill patternType="solid">
        <fgColor theme="1"/>
        <bgColor indexed="64"/>
      </patternFill>
    </fill>
    <fill>
      <patternFill patternType="solid">
        <fgColor rgb="FF92D050"/>
        <bgColor indexed="64"/>
      </patternFill>
    </fill>
    <fill>
      <patternFill patternType="solid">
        <fgColor rgb="FFFFFF00"/>
        <bgColor indexed="64"/>
      </patternFill>
    </fill>
    <fill>
      <patternFill patternType="solid">
        <fgColor theme="0" tint="-0.249977111117893"/>
        <bgColor indexed="64"/>
      </patternFill>
    </fill>
    <fill>
      <patternFill patternType="solid">
        <fgColor rgb="FF4472C4"/>
        <bgColor indexed="64"/>
      </patternFill>
    </fill>
    <fill>
      <patternFill patternType="solid">
        <fgColor rgb="FF2F5496"/>
        <bgColor indexed="64"/>
      </patternFill>
    </fill>
    <fill>
      <patternFill patternType="solid">
        <fgColor rgb="FFD6E4F0"/>
        <bgColor indexed="64"/>
      </patternFill>
    </fill>
    <fill>
      <patternFill patternType="solid">
        <fgColor rgb="FFE2EFDA"/>
        <bgColor indexed="64"/>
      </patternFill>
    </fill>
  </fills>
  <borders count="12">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s>
  <cellStyleXfs count="1">
    <xf numFmtId="0" fontId="0" fillId="0" borderId="0"/>
  </cellStyleXfs>
  <cellXfs count="109">
    <xf numFmtId="0" fontId="0" fillId="0" borderId="0" xfId="0"/>
    <xf numFmtId="0" fontId="4" fillId="0" borderId="4" xfId="0" applyFont="1" applyBorder="1" applyAlignment="1">
      <alignment horizontal="center"/>
    </xf>
    <xf numFmtId="10" fontId="4" fillId="0" borderId="4" xfId="0" applyNumberFormat="1" applyFont="1" applyBorder="1" applyAlignment="1">
      <alignment horizontal="center"/>
    </xf>
    <xf numFmtId="164" fontId="4" fillId="0" borderId="4" xfId="0" applyNumberFormat="1" applyFont="1" applyBorder="1" applyAlignment="1">
      <alignment horizontal="center"/>
    </xf>
    <xf numFmtId="2" fontId="4" fillId="0" borderId="4" xfId="0" applyNumberFormat="1" applyFont="1" applyBorder="1" applyAlignment="1">
      <alignment horizontal="center"/>
    </xf>
    <xf numFmtId="0" fontId="1" fillId="0" borderId="0" xfId="0" applyFont="1" applyAlignment="1" applyProtection="1">
      <alignment horizontal="center"/>
      <protection locked="0"/>
    </xf>
    <xf numFmtId="0" fontId="0" fillId="0" borderId="0" xfId="0" applyAlignment="1" applyProtection="1">
      <alignment horizontal="center"/>
      <protection locked="0"/>
    </xf>
    <xf numFmtId="164" fontId="0" fillId="0" borderId="0" xfId="0" applyNumberFormat="1" applyAlignment="1" applyProtection="1">
      <alignment horizontal="center"/>
      <protection locked="0"/>
    </xf>
    <xf numFmtId="1" fontId="0" fillId="0" borderId="0" xfId="0" applyNumberFormat="1" applyAlignment="1" applyProtection="1">
      <alignment horizontal="center"/>
      <protection locked="0"/>
    </xf>
    <xf numFmtId="0" fontId="0" fillId="0" borderId="0" xfId="0" applyProtection="1">
      <protection locked="0"/>
    </xf>
    <xf numFmtId="0" fontId="3" fillId="0" borderId="0" xfId="0" applyFont="1" applyAlignment="1" applyProtection="1">
      <alignment horizontal="left"/>
      <protection locked="0"/>
    </xf>
    <xf numFmtId="164" fontId="0" fillId="5" borderId="0" xfId="0" applyNumberFormat="1" applyFill="1" applyAlignment="1" applyProtection="1">
      <alignment horizontal="center"/>
      <protection locked="0"/>
    </xf>
    <xf numFmtId="0" fontId="0" fillId="5" borderId="0" xfId="0" applyFill="1" applyAlignment="1" applyProtection="1">
      <alignment horizontal="center"/>
      <protection locked="0"/>
    </xf>
    <xf numFmtId="1" fontId="0" fillId="5" borderId="0" xfId="0" applyNumberFormat="1" applyFill="1" applyAlignment="1" applyProtection="1">
      <alignment horizontal="center"/>
      <protection locked="0"/>
    </xf>
    <xf numFmtId="0" fontId="0" fillId="5" borderId="0" xfId="0" applyFill="1" applyProtection="1">
      <protection locked="0"/>
    </xf>
    <xf numFmtId="164" fontId="0" fillId="5" borderId="0" xfId="0" applyNumberFormat="1" applyFill="1" applyProtection="1">
      <protection locked="0"/>
    </xf>
    <xf numFmtId="165" fontId="5" fillId="2" borderId="7" xfId="0" applyNumberFormat="1" applyFont="1" applyFill="1" applyBorder="1" applyAlignment="1" applyProtection="1">
      <alignment horizontal="center"/>
      <protection locked="0"/>
    </xf>
    <xf numFmtId="166" fontId="5" fillId="2" borderId="7" xfId="0" applyNumberFormat="1" applyFont="1" applyFill="1" applyBorder="1" applyAlignment="1" applyProtection="1">
      <alignment horizontal="center"/>
      <protection locked="0"/>
    </xf>
    <xf numFmtId="164" fontId="4" fillId="0" borderId="6" xfId="0" applyNumberFormat="1" applyFont="1" applyBorder="1" applyAlignment="1">
      <alignment horizontal="center"/>
    </xf>
    <xf numFmtId="9" fontId="5" fillId="0" borderId="4" xfId="0" applyNumberFormat="1" applyFont="1" applyBorder="1" applyAlignment="1">
      <alignment horizontal="center"/>
    </xf>
    <xf numFmtId="1" fontId="5" fillId="0" borderId="4" xfId="0" applyNumberFormat="1" applyFont="1" applyBorder="1" applyAlignment="1">
      <alignment horizontal="center"/>
    </xf>
    <xf numFmtId="10" fontId="5" fillId="0" borderId="4" xfId="0" applyNumberFormat="1" applyFont="1" applyBorder="1" applyAlignment="1">
      <alignment horizontal="center"/>
    </xf>
    <xf numFmtId="165" fontId="5" fillId="0" borderId="4" xfId="0" applyNumberFormat="1" applyFont="1" applyBorder="1" applyAlignment="1">
      <alignment horizontal="center"/>
    </xf>
    <xf numFmtId="167" fontId="0" fillId="0" borderId="4" xfId="0" applyNumberFormat="1" applyBorder="1" applyAlignment="1">
      <alignment horizontal="center"/>
    </xf>
    <xf numFmtId="167" fontId="0" fillId="0" borderId="6" xfId="0" applyNumberFormat="1" applyBorder="1" applyAlignment="1">
      <alignment horizontal="center"/>
    </xf>
    <xf numFmtId="0" fontId="0" fillId="0" borderId="0" xfId="0" applyAlignment="1">
      <alignment horizontal="center"/>
    </xf>
    <xf numFmtId="0" fontId="2" fillId="0" borderId="0" xfId="0" applyFont="1"/>
    <xf numFmtId="0" fontId="3" fillId="0" borderId="1" xfId="0" applyFont="1" applyBorder="1"/>
    <xf numFmtId="0" fontId="3" fillId="0" borderId="2" xfId="0" applyFont="1" applyBorder="1" applyAlignment="1">
      <alignment horizontal="center"/>
    </xf>
    <xf numFmtId="0" fontId="3" fillId="0" borderId="0" xfId="0" applyFont="1"/>
    <xf numFmtId="0" fontId="4" fillId="0" borderId="3" xfId="0" applyFont="1" applyBorder="1"/>
    <xf numFmtId="0" fontId="4" fillId="0" borderId="0" xfId="0" applyFont="1"/>
    <xf numFmtId="10" fontId="0" fillId="0" borderId="0" xfId="0" applyNumberFormat="1"/>
    <xf numFmtId="10" fontId="4" fillId="0" borderId="3" xfId="0" applyNumberFormat="1" applyFont="1" applyBorder="1"/>
    <xf numFmtId="10" fontId="4" fillId="0" borderId="0" xfId="0" applyNumberFormat="1" applyFont="1"/>
    <xf numFmtId="164" fontId="4" fillId="0" borderId="0" xfId="0" applyNumberFormat="1" applyFont="1"/>
    <xf numFmtId="164" fontId="4" fillId="0" borderId="3" xfId="0" applyNumberFormat="1" applyFont="1" applyBorder="1"/>
    <xf numFmtId="2" fontId="4" fillId="0" borderId="0" xfId="0" applyNumberFormat="1" applyFont="1"/>
    <xf numFmtId="2" fontId="4" fillId="0" borderId="3" xfId="0" applyNumberFormat="1" applyFont="1" applyBorder="1"/>
    <xf numFmtId="0" fontId="4" fillId="0" borderId="5" xfId="0" applyFont="1" applyBorder="1"/>
    <xf numFmtId="164" fontId="4" fillId="0" borderId="5" xfId="0" applyNumberFormat="1" applyFont="1" applyBorder="1"/>
    <xf numFmtId="0" fontId="0" fillId="3" borderId="1" xfId="0" applyFill="1" applyBorder="1"/>
    <xf numFmtId="0" fontId="0" fillId="3" borderId="2" xfId="0" applyFill="1" applyBorder="1" applyAlignment="1">
      <alignment horizontal="center"/>
    </xf>
    <xf numFmtId="164" fontId="3" fillId="0" borderId="1" xfId="0" applyNumberFormat="1" applyFont="1" applyBorder="1"/>
    <xf numFmtId="0" fontId="0" fillId="0" borderId="2" xfId="0" applyBorder="1" applyAlignment="1">
      <alignment horizontal="center"/>
    </xf>
    <xf numFmtId="0" fontId="0" fillId="0" borderId="3" xfId="0" applyBorder="1"/>
    <xf numFmtId="0" fontId="0" fillId="0" borderId="4" xfId="0" applyBorder="1" applyAlignment="1">
      <alignment horizontal="center"/>
    </xf>
    <xf numFmtId="0" fontId="5" fillId="0" borderId="3" xfId="0" applyFont="1" applyBorder="1"/>
    <xf numFmtId="167" fontId="0" fillId="0" borderId="0" xfId="0" applyNumberFormat="1"/>
    <xf numFmtId="167" fontId="5" fillId="0" borderId="3" xfId="0" applyNumberFormat="1" applyFont="1" applyBorder="1"/>
    <xf numFmtId="0" fontId="5" fillId="0" borderId="5" xfId="0" applyFont="1" applyBorder="1"/>
    <xf numFmtId="167" fontId="5" fillId="0" borderId="5" xfId="0" applyNumberFormat="1" applyFont="1" applyBorder="1"/>
    <xf numFmtId="168" fontId="0" fillId="0" borderId="0" xfId="0" applyNumberFormat="1" applyAlignment="1" applyProtection="1">
      <alignment horizontal="center"/>
      <protection locked="0"/>
    </xf>
    <xf numFmtId="168" fontId="0" fillId="5" borderId="0" xfId="0" applyNumberFormat="1" applyFill="1" applyAlignment="1" applyProtection="1">
      <alignment horizontal="center"/>
      <protection locked="0"/>
    </xf>
    <xf numFmtId="2" fontId="5" fillId="0" borderId="4" xfId="0" applyNumberFormat="1" applyFont="1" applyBorder="1" applyAlignment="1">
      <alignment horizontal="center"/>
    </xf>
    <xf numFmtId="164" fontId="0" fillId="0" borderId="0" xfId="0" applyNumberFormat="1" applyProtection="1">
      <protection locked="0"/>
    </xf>
    <xf numFmtId="0" fontId="0" fillId="0" borderId="0" xfId="0" applyProtection="1">
      <protection hidden="1"/>
    </xf>
    <xf numFmtId="0" fontId="5" fillId="0" borderId="0" xfId="0" applyFont="1"/>
    <xf numFmtId="0" fontId="0" fillId="6" borderId="0" xfId="0" applyFill="1" applyAlignment="1" applyProtection="1">
      <alignment horizontal="center" vertical="center"/>
      <protection locked="0"/>
    </xf>
    <xf numFmtId="0" fontId="6" fillId="0" borderId="0" xfId="0" applyFont="1" applyAlignment="1" applyProtection="1">
      <alignment horizontal="center" vertical="center"/>
      <protection locked="0"/>
    </xf>
    <xf numFmtId="0" fontId="0" fillId="7" borderId="0" xfId="0" applyFill="1" applyAlignment="1" applyProtection="1">
      <alignment horizontal="center" vertical="center"/>
      <protection locked="0"/>
    </xf>
    <xf numFmtId="0" fontId="0" fillId="0" borderId="0" xfId="0" applyAlignment="1" applyProtection="1">
      <alignment horizontal="center" vertical="center"/>
      <protection locked="0"/>
    </xf>
    <xf numFmtId="0" fontId="7" fillId="0" borderId="0" xfId="0" applyFont="1" applyAlignment="1" applyProtection="1">
      <alignment horizontal="center" vertical="center"/>
      <protection locked="0"/>
    </xf>
    <xf numFmtId="0" fontId="3" fillId="0" borderId="0" xfId="0" applyFont="1" applyProtection="1">
      <protection locked="0"/>
    </xf>
    <xf numFmtId="169" fontId="0" fillId="5" borderId="0" xfId="0" applyNumberFormat="1" applyFill="1" applyAlignment="1" applyProtection="1">
      <alignment horizontal="center"/>
      <protection locked="0"/>
    </xf>
    <xf numFmtId="169" fontId="0" fillId="0" borderId="0" xfId="0" applyNumberFormat="1" applyAlignment="1" applyProtection="1">
      <alignment horizontal="center"/>
      <protection locked="0"/>
    </xf>
    <xf numFmtId="164" fontId="8" fillId="0" borderId="0" xfId="0" applyNumberFormat="1" applyFont="1" applyAlignment="1" applyProtection="1">
      <alignment horizontal="center"/>
      <protection locked="0"/>
    </xf>
    <xf numFmtId="164" fontId="8" fillId="0" borderId="0" xfId="0" applyNumberFormat="1" applyFont="1" applyAlignment="1" applyProtection="1">
      <alignment horizontal="center" vertical="center"/>
      <protection locked="0"/>
    </xf>
    <xf numFmtId="1" fontId="8" fillId="0" borderId="0" xfId="0" applyNumberFormat="1" applyFont="1" applyAlignment="1" applyProtection="1">
      <alignment horizontal="center" vertical="center"/>
      <protection locked="0"/>
    </xf>
    <xf numFmtId="168" fontId="8" fillId="0" borderId="0" xfId="0" applyNumberFormat="1" applyFont="1" applyAlignment="1" applyProtection="1">
      <alignment horizontal="center" vertical="center"/>
      <protection locked="0"/>
    </xf>
    <xf numFmtId="1" fontId="0" fillId="8" borderId="8" xfId="0" applyNumberFormat="1" applyFill="1" applyBorder="1" applyAlignment="1">
      <alignment horizontal="center"/>
    </xf>
    <xf numFmtId="1" fontId="0" fillId="8" borderId="7" xfId="0" applyNumberFormat="1" applyFill="1" applyBorder="1" applyAlignment="1">
      <alignment horizontal="center"/>
    </xf>
    <xf numFmtId="8" fontId="0" fillId="8" borderId="8" xfId="0" applyNumberFormat="1" applyFill="1" applyBorder="1" applyAlignment="1">
      <alignment horizontal="center"/>
    </xf>
    <xf numFmtId="8" fontId="0" fillId="8" borderId="7" xfId="0" applyNumberFormat="1" applyFill="1" applyBorder="1" applyAlignment="1">
      <alignment horizontal="center"/>
    </xf>
    <xf numFmtId="15" fontId="8" fillId="0" borderId="0" xfId="0" applyNumberFormat="1" applyFont="1" applyAlignment="1">
      <alignment horizontal="center" vertical="center"/>
    </xf>
    <xf numFmtId="0" fontId="8" fillId="0" borderId="0" xfId="0" applyFont="1" applyAlignment="1">
      <alignment horizontal="center" vertical="center"/>
    </xf>
    <xf numFmtId="168" fontId="8" fillId="0" borderId="0" xfId="0" applyNumberFormat="1" applyFont="1" applyAlignment="1">
      <alignment horizontal="center" vertical="center"/>
    </xf>
    <xf numFmtId="164" fontId="8" fillId="0" borderId="0" xfId="0" applyNumberFormat="1" applyFont="1" applyAlignment="1">
      <alignment horizontal="center" vertical="center"/>
    </xf>
    <xf numFmtId="3" fontId="8" fillId="0" borderId="0" xfId="0" applyNumberFormat="1" applyFont="1" applyAlignment="1">
      <alignment horizontal="center" vertical="center"/>
    </xf>
    <xf numFmtId="1" fontId="8" fillId="0" borderId="0" xfId="0" applyNumberFormat="1" applyFont="1" applyAlignment="1" applyProtection="1">
      <alignment horizontal="center"/>
      <protection locked="0"/>
    </xf>
    <xf numFmtId="168" fontId="8" fillId="0" borderId="0" xfId="0" applyNumberFormat="1" applyFont="1" applyAlignment="1" applyProtection="1">
      <alignment horizontal="center"/>
      <protection locked="0"/>
    </xf>
    <xf numFmtId="0" fontId="0" fillId="0" borderId="0" xfId="0" applyAlignment="1" applyProtection="1">
      <alignment horizontal="left"/>
      <protection locked="0"/>
    </xf>
    <xf numFmtId="0" fontId="0" fillId="0" borderId="0" xfId="0" applyAlignment="1" applyProtection="1">
      <alignment horizontal="left" vertical="center"/>
      <protection locked="0"/>
    </xf>
    <xf numFmtId="0" fontId="8" fillId="0" borderId="0" xfId="0" applyFont="1" applyAlignment="1" applyProtection="1">
      <alignment horizontal="left"/>
      <protection locked="0"/>
    </xf>
    <xf numFmtId="0" fontId="0" fillId="5" borderId="0" xfId="0" applyFill="1" applyAlignment="1" applyProtection="1">
      <alignment horizontal="left"/>
      <protection locked="0"/>
    </xf>
    <xf numFmtId="0" fontId="1" fillId="0" borderId="9" xfId="0" applyFont="1" applyBorder="1" applyAlignment="1" applyProtection="1">
      <alignment horizontal="center" vertical="center"/>
      <protection locked="0"/>
    </xf>
    <xf numFmtId="0" fontId="1" fillId="0" borderId="10" xfId="0" applyFont="1" applyBorder="1" applyAlignment="1" applyProtection="1">
      <alignment horizontal="center" vertical="center"/>
      <protection locked="0"/>
    </xf>
    <xf numFmtId="168" fontId="1" fillId="0" borderId="10" xfId="0" applyNumberFormat="1" applyFont="1" applyBorder="1" applyAlignment="1" applyProtection="1">
      <alignment horizontal="center" vertical="center"/>
      <protection locked="0"/>
    </xf>
    <xf numFmtId="164" fontId="1" fillId="0" borderId="10" xfId="0" applyNumberFormat="1" applyFont="1" applyBorder="1" applyAlignment="1" applyProtection="1">
      <alignment horizontal="center" vertical="center"/>
      <protection locked="0"/>
    </xf>
    <xf numFmtId="1" fontId="1" fillId="0" borderId="10" xfId="0" applyNumberFormat="1" applyFont="1" applyBorder="1" applyAlignment="1" applyProtection="1">
      <alignment horizontal="center" vertical="center"/>
      <protection locked="0"/>
    </xf>
    <xf numFmtId="1" fontId="1" fillId="4" borderId="10" xfId="0" applyNumberFormat="1" applyFont="1" applyFill="1" applyBorder="1" applyAlignment="1" applyProtection="1">
      <alignment horizontal="center" vertical="center"/>
      <protection locked="0"/>
    </xf>
    <xf numFmtId="169" fontId="1" fillId="4" borderId="10" xfId="0" applyNumberFormat="1" applyFont="1" applyFill="1" applyBorder="1" applyAlignment="1" applyProtection="1">
      <alignment horizontal="center" vertical="center"/>
      <protection locked="0"/>
    </xf>
    <xf numFmtId="164" fontId="1" fillId="4" borderId="10" xfId="0" applyNumberFormat="1" applyFont="1" applyFill="1" applyBorder="1" applyAlignment="1" applyProtection="1">
      <alignment horizontal="center" vertical="center"/>
      <protection locked="0"/>
    </xf>
    <xf numFmtId="0" fontId="1" fillId="4" borderId="11" xfId="0" applyFont="1" applyFill="1" applyBorder="1" applyAlignment="1" applyProtection="1">
      <alignment horizontal="center" vertical="center"/>
      <protection locked="0"/>
    </xf>
    <xf numFmtId="0" fontId="9" fillId="9" borderId="0" xfId="0" applyFont="1" applyFill="1"/>
    <xf numFmtId="14" fontId="0" fillId="0" borderId="0" xfId="0" applyNumberFormat="1"/>
    <xf numFmtId="0" fontId="0" fillId="10" borderId="0" xfId="0" applyFill="1"/>
    <xf numFmtId="0" fontId="10" fillId="10" borderId="0" xfId="0" applyFont="1" applyFill="1"/>
    <xf numFmtId="0" fontId="0" fillId="11" borderId="0" xfId="0" applyFill="1"/>
    <xf numFmtId="0" fontId="2" fillId="11" borderId="0" xfId="0" applyFont="1" applyFill="1"/>
    <xf numFmtId="0" fontId="9" fillId="10" borderId="0" xfId="0" applyFont="1" applyFill="1"/>
    <xf numFmtId="0" fontId="2" fillId="12" borderId="0" xfId="0" applyFont="1" applyFill="1"/>
    <xf numFmtId="0" fontId="0" fillId="12" borderId="0" xfId="0" applyFill="1"/>
    <xf numFmtId="0" fontId="11" fillId="12" borderId="0" xfId="0" applyFont="1" applyFill="1"/>
    <xf numFmtId="8" fontId="0" fillId="0" borderId="0" xfId="0" applyNumberFormat="1"/>
    <xf numFmtId="170" fontId="8" fillId="0" borderId="0" xfId="0" applyNumberFormat="1" applyFont="1" applyAlignment="1">
      <alignment horizontal="center" vertical="center"/>
    </xf>
    <xf numFmtId="170" fontId="8" fillId="0" borderId="0" xfId="0" applyNumberFormat="1" applyFont="1" applyAlignment="1" applyProtection="1">
      <alignment horizontal="center"/>
      <protection locked="0"/>
    </xf>
    <xf numFmtId="170" fontId="8" fillId="0" borderId="0" xfId="0" applyNumberFormat="1" applyFont="1" applyAlignment="1" applyProtection="1">
      <alignment horizontal="center" vertical="center"/>
      <protection locked="0"/>
    </xf>
    <xf numFmtId="0" fontId="0" fillId="0" borderId="0" xfId="0" quotePrefix="1"/>
  </cellXfs>
  <cellStyles count="1">
    <cellStyle name="Normal" xfId="0" builtinId="0"/>
  </cellStyles>
  <dxfs count="28">
    <dxf>
      <protection locked="0" hidden="0"/>
    </dxf>
    <dxf>
      <protection locked="0" hidden="0"/>
    </dxf>
    <dxf>
      <numFmt numFmtId="164" formatCode="&quot;$&quot;#,##0.00"/>
      <protection locked="0" hidden="0"/>
    </dxf>
    <dxf>
      <alignment horizontal="left" vertical="bottom"/>
      <protection locked="0" hidden="0"/>
    </dxf>
    <dxf>
      <numFmt numFmtId="169" formatCode="0.00_);[Red]\(0.00\)"/>
      <alignment horizontal="center" vertical="bottom"/>
      <protection locked="0" hidden="0"/>
    </dxf>
    <dxf>
      <numFmt numFmtId="164" formatCode="&quot;$&quot;#,##0.00"/>
      <alignment horizontal="center" vertical="bottom"/>
      <protection locked="0" hidden="0"/>
    </dxf>
    <dxf>
      <numFmt numFmtId="1" formatCode="0"/>
      <alignment horizontal="center" vertical="bottom"/>
      <protection locked="0" hidden="0"/>
    </dxf>
    <dxf>
      <numFmt numFmtId="168" formatCode="[$-409]dd\-mmm\-yy;@"/>
      <alignment horizontal="center" vertical="bottom"/>
      <protection locked="0" hidden="0"/>
    </dxf>
    <dxf>
      <numFmt numFmtId="1" formatCode="0"/>
      <alignment horizontal="center" vertical="bottom"/>
      <protection locked="0" hidden="0"/>
    </dxf>
    <dxf>
      <numFmt numFmtId="164" formatCode="&quot;$&quot;#,##0.00"/>
      <alignment horizontal="center" vertical="bottom"/>
      <protection locked="0" hidden="0"/>
    </dxf>
    <dxf>
      <numFmt numFmtId="1" formatCode="0"/>
      <alignment horizontal="center" vertical="bottom"/>
      <protection locked="0" hidden="0"/>
    </dxf>
    <dxf>
      <numFmt numFmtId="168" formatCode="[$-409]dd\-mmm\-yy;@"/>
      <alignment horizontal="center" vertical="bottom"/>
      <protection locked="0" hidden="0"/>
    </dxf>
    <dxf>
      <numFmt numFmtId="1" formatCode="0"/>
      <alignment horizontal="center" vertical="bottom"/>
      <protection locked="0" hidden="0"/>
    </dxf>
    <dxf>
      <numFmt numFmtId="164" formatCode="&quot;$&quot;#,##0.00"/>
      <alignment horizontal="center" vertical="bottom"/>
      <protection locked="0" hidden="0"/>
    </dxf>
    <dxf>
      <numFmt numFmtId="1" formatCode="0"/>
      <alignment horizontal="center" vertical="bottom"/>
      <protection locked="0" hidden="0"/>
    </dxf>
    <dxf>
      <numFmt numFmtId="168" formatCode="[$-409]dd\-mmm\-yy;@"/>
      <alignment horizontal="center" vertical="bottom"/>
      <protection locked="0" hidden="0"/>
    </dxf>
    <dxf>
      <numFmt numFmtId="1" formatCode="0"/>
      <alignment horizontal="center" vertical="bottom"/>
      <protection locked="0" hidden="0"/>
    </dxf>
    <dxf>
      <numFmt numFmtId="164" formatCode="&quot;$&quot;#,##0.00"/>
      <alignment horizontal="center" vertical="bottom"/>
      <protection locked="0" hidden="0"/>
    </dxf>
    <dxf>
      <alignment horizontal="center" vertical="bottom"/>
      <protection locked="0" hidden="0"/>
    </dxf>
    <dxf>
      <numFmt numFmtId="164" formatCode="&quot;$&quot;#,##0.00"/>
      <alignment horizontal="center" vertical="bottom"/>
      <protection locked="0" hidden="0"/>
    </dxf>
    <dxf>
      <numFmt numFmtId="168" formatCode="[$-409]dd\-mmm\-yy;@"/>
      <alignment horizontal="center" vertical="bottom"/>
      <protection locked="0" hidden="0"/>
    </dxf>
    <dxf>
      <numFmt numFmtId="168" formatCode="[$-409]dd\-mmm\-yy;@"/>
      <alignment horizontal="center" vertical="bottom"/>
      <protection locked="0" hidden="0"/>
    </dxf>
    <dxf>
      <numFmt numFmtId="168" formatCode="[$-409]dd\-mmm\-yy;@"/>
      <alignment horizontal="center" vertical="bottom"/>
      <protection locked="0" hidden="0"/>
    </dxf>
    <dxf>
      <alignment horizontal="center" vertical="bottom"/>
      <protection locked="0" hidden="0"/>
    </dxf>
    <dxf>
      <alignment horizontal="center" vertical="bottom"/>
      <protection locked="0" hidden="0"/>
    </dxf>
    <dxf>
      <alignment horizontal="center" vertical="bottom"/>
      <protection locked="0" hidden="0"/>
    </dxf>
    <dxf>
      <border outline="0">
        <top style="medium">
          <color indexed="64"/>
        </top>
      </border>
    </dxf>
    <dxf>
      <border outline="0">
        <bottom style="medium">
          <color indexed="64"/>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Log" displayName="TableLog" ref="A1:AA105" totalsRowShown="0" headerRowBorderDxfId="27" tableBorderDxfId="26">
  <autoFilter ref="A1:AA105"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autoFilter>
  <tableColumns count="27">
    <tableColumn id="1" xr3:uid="{00000000-0010-0000-0000-000001000000}" name="Symbol"/>
    <tableColumn id="2" xr3:uid="{00000000-0010-0000-0000-000002000000}" name="System" dataDxfId="25"/>
    <tableColumn id="3" xr3:uid="{00000000-0010-0000-0000-000003000000}" name="Trade Type" dataDxfId="24"/>
    <tableColumn id="4" xr3:uid="{00000000-0010-0000-0000-000004000000}" name="Long/Short" dataDxfId="23"/>
    <tableColumn id="5" xr3:uid="{00000000-0010-0000-0000-000005000000}" name="Strike" dataDxfId="22"/>
    <tableColumn id="6" xr3:uid="{00000000-0010-0000-0000-000006000000}" name="Cur Stock $" dataDxfId="21"/>
    <tableColumn id="7" xr3:uid="{00000000-0010-0000-0000-000007000000}" name="Trade Date" dataDxfId="20"/>
    <tableColumn id="8" xr3:uid="{00000000-0010-0000-0000-000008000000}" name="Entry $$" dataDxfId="19"/>
    <tableColumn id="9" xr3:uid="{00000000-0010-0000-0000-000009000000}" name="Contracts" dataDxfId="18"/>
    <tableColumn id="10" xr3:uid="{00000000-0010-0000-0000-00000A000000}" name="Exit #1 $" dataDxfId="17"/>
    <tableColumn id="11" xr3:uid="{00000000-0010-0000-0000-00000B000000}" name="# Exited" dataDxfId="16"/>
    <tableColumn id="12" xr3:uid="{00000000-0010-0000-0000-00000C000000}" name="Exit Date" dataDxfId="15"/>
    <tableColumn id="13" xr3:uid="{00000000-0010-0000-0000-00000D000000}" name="# of Days" dataDxfId="14"/>
    <tableColumn id="14" xr3:uid="{00000000-0010-0000-0000-00000E000000}" name="Exit #2 $" dataDxfId="13"/>
    <tableColumn id="15" xr3:uid="{00000000-0010-0000-0000-00000F000000}" name="# Exited2" dataDxfId="12"/>
    <tableColumn id="16" xr3:uid="{00000000-0010-0000-0000-000010000000}" name="Exit Date3" dataDxfId="11"/>
    <tableColumn id="17" xr3:uid="{00000000-0010-0000-0000-000011000000}" name="# of Days4" dataDxfId="10"/>
    <tableColumn id="18" xr3:uid="{00000000-0010-0000-0000-000012000000}" name="Exit #3 $" dataDxfId="9"/>
    <tableColumn id="19" xr3:uid="{00000000-0010-0000-0000-000013000000}" name="# Exited5" dataDxfId="8"/>
    <tableColumn id="20" xr3:uid="{00000000-0010-0000-0000-000014000000}" name="Exit Date6" dataDxfId="7"/>
    <tableColumn id="21" xr3:uid="{00000000-0010-0000-0000-000015000000}" name="# of Days7" dataDxfId="6"/>
    <tableColumn id="22" xr3:uid="{00000000-0010-0000-0000-000016000000}" name="Comm." dataDxfId="5"/>
    <tableColumn id="23" xr3:uid="{00000000-0010-0000-0000-000017000000}" name="Gain/Loss" dataDxfId="4"/>
    <tableColumn id="24" xr3:uid="{00000000-0010-0000-0000-000018000000}" name="Trade Comments" dataDxfId="3"/>
    <tableColumn id="25" xr3:uid="{00000000-0010-0000-0000-000019000000}" name="Exit #1" dataDxfId="2"/>
    <tableColumn id="26" xr3:uid="{00000000-0010-0000-0000-00001A000000}" name="Exit #2" dataDxfId="1"/>
    <tableColumn id="27" xr3:uid="{00000000-0010-0000-0000-00001B000000}" name="Exit #3"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27D28AF-6CFF-4998-9CFC-314FACA0E26D}">
  <we:reference id="wa200009404" version="1.0.0.5" store="en-US" storeType="OMEX"/>
  <we:alternateReferences>
    <we:reference id="wa200009404" version="1.0.0.5" store="" storeType="OMEX"/>
  </we:alternateReferences>
  <we:properties>
    <we:property name="Office.AutoShowTaskpaneWithDocument" value="true"/>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8"/>
  <sheetViews>
    <sheetView topLeftCell="A15" zoomScale="130" zoomScaleNormal="130" workbookViewId="0">
      <selection sqref="A1:F47"/>
    </sheetView>
  </sheetViews>
  <sheetFormatPr defaultRowHeight="15" x14ac:dyDescent="0.25"/>
  <cols>
    <col min="1" max="1" width="9.5703125" customWidth="1"/>
    <col min="2" max="2" width="15.28515625" customWidth="1"/>
    <col min="3" max="3" width="66.7109375" customWidth="1"/>
    <col min="4" max="4" width="47.5703125" customWidth="1"/>
    <col min="5" max="5" width="66.7109375" customWidth="1"/>
    <col min="6" max="6" width="57.140625" customWidth="1"/>
  </cols>
  <sheetData>
    <row r="1" spans="1:6" x14ac:dyDescent="0.25">
      <c r="A1" s="94" t="s">
        <v>0</v>
      </c>
      <c r="B1" s="94" t="s">
        <v>1</v>
      </c>
      <c r="C1" s="94" t="s">
        <v>2</v>
      </c>
      <c r="D1" s="94" t="s">
        <v>3</v>
      </c>
      <c r="E1" s="94" t="s">
        <v>4</v>
      </c>
      <c r="F1" s="94" t="s">
        <v>5</v>
      </c>
    </row>
    <row r="2" spans="1:6" x14ac:dyDescent="0.25">
      <c r="A2">
        <v>1</v>
      </c>
      <c r="B2" s="95">
        <v>46075</v>
      </c>
      <c r="C2" t="s">
        <v>6</v>
      </c>
      <c r="D2" t="s">
        <v>7</v>
      </c>
      <c r="E2" t="s">
        <v>8</v>
      </c>
      <c r="F2" t="s">
        <v>9</v>
      </c>
    </row>
    <row r="3" spans="1:6" x14ac:dyDescent="0.25">
      <c r="A3">
        <v>2</v>
      </c>
      <c r="B3" s="95">
        <v>46075</v>
      </c>
      <c r="C3" t="s">
        <v>10</v>
      </c>
      <c r="D3" t="s">
        <v>11</v>
      </c>
      <c r="E3" t="s">
        <v>12</v>
      </c>
      <c r="F3" t="s">
        <v>13</v>
      </c>
    </row>
    <row r="4" spans="1:6" x14ac:dyDescent="0.25">
      <c r="A4">
        <v>3</v>
      </c>
      <c r="B4" s="95">
        <v>46075</v>
      </c>
      <c r="C4" t="s">
        <v>14</v>
      </c>
      <c r="D4" t="s">
        <v>15</v>
      </c>
      <c r="E4" t="s">
        <v>16</v>
      </c>
      <c r="F4" t="s">
        <v>17</v>
      </c>
    </row>
    <row r="5" spans="1:6" x14ac:dyDescent="0.25">
      <c r="A5">
        <v>4</v>
      </c>
      <c r="B5" s="95">
        <v>46075</v>
      </c>
      <c r="C5" t="s">
        <v>18</v>
      </c>
      <c r="D5" t="s">
        <v>19</v>
      </c>
      <c r="E5" t="s">
        <v>20</v>
      </c>
      <c r="F5" t="s">
        <v>21</v>
      </c>
    </row>
    <row r="6" spans="1:6" ht="17.25" customHeight="1" x14ac:dyDescent="0.3">
      <c r="A6" s="96"/>
      <c r="B6" s="97" t="s">
        <v>22</v>
      </c>
      <c r="C6" s="96"/>
      <c r="D6" s="96"/>
      <c r="E6" s="96"/>
      <c r="F6" s="96"/>
    </row>
    <row r="7" spans="1:6" x14ac:dyDescent="0.25">
      <c r="A7" s="98"/>
      <c r="B7" s="99" t="s">
        <v>23</v>
      </c>
      <c r="C7" s="98" t="s">
        <v>24</v>
      </c>
      <c r="D7" s="98"/>
      <c r="E7" s="98"/>
      <c r="F7" s="98"/>
    </row>
    <row r="8" spans="1:6" x14ac:dyDescent="0.25">
      <c r="A8" s="98"/>
      <c r="B8" s="99" t="s">
        <v>25</v>
      </c>
      <c r="C8" s="98" t="s">
        <v>26</v>
      </c>
      <c r="D8" s="98"/>
      <c r="E8" s="98"/>
      <c r="F8" s="98"/>
    </row>
    <row r="9" spans="1:6" x14ac:dyDescent="0.25">
      <c r="A9" s="98"/>
      <c r="B9" s="99" t="s">
        <v>27</v>
      </c>
      <c r="C9" s="98" t="s">
        <v>28</v>
      </c>
      <c r="D9" s="98"/>
      <c r="E9" s="98"/>
      <c r="F9" s="98"/>
    </row>
    <row r="11" spans="1:6" x14ac:dyDescent="0.25">
      <c r="A11" s="96"/>
      <c r="B11" s="100" t="s">
        <v>29</v>
      </c>
      <c r="C11" s="96"/>
      <c r="D11" s="96"/>
      <c r="E11" s="96"/>
      <c r="F11" s="96"/>
    </row>
    <row r="12" spans="1:6" x14ac:dyDescent="0.25">
      <c r="B12" s="99" t="s">
        <v>30</v>
      </c>
      <c r="C12" s="98" t="s">
        <v>31</v>
      </c>
    </row>
    <row r="14" spans="1:6" x14ac:dyDescent="0.25">
      <c r="B14" s="101" t="s">
        <v>32</v>
      </c>
      <c r="C14" s="101" t="s">
        <v>33</v>
      </c>
      <c r="D14" s="101" t="s">
        <v>34</v>
      </c>
      <c r="E14" s="101" t="s">
        <v>35</v>
      </c>
      <c r="F14" s="101" t="s">
        <v>36</v>
      </c>
    </row>
    <row r="15" spans="1:6" x14ac:dyDescent="0.25">
      <c r="B15" s="102">
        <v>1</v>
      </c>
      <c r="C15" s="102" t="s">
        <v>37</v>
      </c>
      <c r="D15" s="102" t="e">
        <v>#DIV/0!</v>
      </c>
      <c r="E15" s="102" t="s">
        <v>38</v>
      </c>
      <c r="F15" s="102">
        <f>IF(OR(L7=0,L7="0"),0,L8/L7)</f>
        <v>0</v>
      </c>
    </row>
    <row r="16" spans="1:6" x14ac:dyDescent="0.25">
      <c r="B16" s="102">
        <v>2</v>
      </c>
      <c r="C16" s="102" t="s">
        <v>39</v>
      </c>
      <c r="D16" s="102" t="e">
        <v>#DIV/0!</v>
      </c>
      <c r="E16" s="102" t="s">
        <v>40</v>
      </c>
      <c r="F16" s="102">
        <f>IF(OR(O7=0,O7="0"),0,O8/O7)</f>
        <v>0</v>
      </c>
    </row>
    <row r="17" spans="1:6" x14ac:dyDescent="0.25">
      <c r="B17" s="102">
        <v>3</v>
      </c>
      <c r="C17" s="102" t="s">
        <v>41</v>
      </c>
      <c r="D17" s="102" t="e">
        <v>#VALUE!</v>
      </c>
      <c r="E17" s="102" t="s">
        <v>42</v>
      </c>
      <c r="F17" s="102">
        <f>IF(OR(I6=0,I24="",I24=0),0,I10/I24*-1)</f>
        <v>0</v>
      </c>
    </row>
    <row r="18" spans="1:6" x14ac:dyDescent="0.25">
      <c r="B18" s="102">
        <v>4</v>
      </c>
      <c r="C18" s="102" t="s">
        <v>43</v>
      </c>
      <c r="D18" s="102" t="e">
        <v>#VALUE!</v>
      </c>
      <c r="E18" s="102" t="s">
        <v>44</v>
      </c>
      <c r="F18" t="s">
        <v>45</v>
      </c>
    </row>
    <row r="19" spans="1:6" x14ac:dyDescent="0.25">
      <c r="B19" s="102">
        <v>5</v>
      </c>
      <c r="C19" s="102" t="s">
        <v>46</v>
      </c>
      <c r="D19" s="102" t="e">
        <v>#DIV/0!</v>
      </c>
      <c r="E19" s="102" t="s">
        <v>47</v>
      </c>
      <c r="F19">
        <f>IF(OR(I4=0,I22="",I22=0),0,I18/I22)</f>
        <v>0</v>
      </c>
    </row>
    <row r="21" spans="1:6" x14ac:dyDescent="0.25">
      <c r="B21" s="26" t="s">
        <v>48</v>
      </c>
      <c r="C21" s="102" t="s">
        <v>49</v>
      </c>
    </row>
    <row r="22" spans="1:6" x14ac:dyDescent="0.25">
      <c r="B22" s="26" t="s">
        <v>50</v>
      </c>
      <c r="C22" s="103" t="s">
        <v>51</v>
      </c>
    </row>
    <row r="24" spans="1:6" x14ac:dyDescent="0.25">
      <c r="A24" s="96"/>
      <c r="B24" s="100" t="s">
        <v>52</v>
      </c>
      <c r="C24" s="96"/>
      <c r="D24" s="96"/>
      <c r="E24" s="96"/>
      <c r="F24" s="96"/>
    </row>
    <row r="25" spans="1:6" x14ac:dyDescent="0.25">
      <c r="B25" s="26" t="s">
        <v>30</v>
      </c>
      <c r="C25" t="s">
        <v>53</v>
      </c>
    </row>
    <row r="27" spans="1:6" x14ac:dyDescent="0.25">
      <c r="B27" s="26" t="s">
        <v>54</v>
      </c>
      <c r="C27" t="s">
        <v>55</v>
      </c>
    </row>
    <row r="29" spans="1:6" x14ac:dyDescent="0.25">
      <c r="B29" s="26" t="s">
        <v>56</v>
      </c>
      <c r="C29" t="s">
        <v>57</v>
      </c>
    </row>
    <row r="30" spans="1:6" x14ac:dyDescent="0.25">
      <c r="B30" s="101" t="s">
        <v>58</v>
      </c>
      <c r="C30" s="101" t="s">
        <v>59</v>
      </c>
      <c r="D30" s="101" t="s">
        <v>60</v>
      </c>
      <c r="E30" s="101" t="s">
        <v>61</v>
      </c>
      <c r="F30" s="101" t="s">
        <v>62</v>
      </c>
    </row>
    <row r="31" spans="1:6" x14ac:dyDescent="0.25">
      <c r="B31" t="s">
        <v>63</v>
      </c>
      <c r="C31" t="s">
        <v>64</v>
      </c>
      <c r="D31" t="s">
        <v>65</v>
      </c>
      <c r="E31" s="32">
        <v>1.7273000000000001</v>
      </c>
      <c r="F31" t="s">
        <v>66</v>
      </c>
    </row>
    <row r="32" spans="1:6" x14ac:dyDescent="0.25">
      <c r="B32" t="s">
        <v>67</v>
      </c>
      <c r="C32" t="s">
        <v>68</v>
      </c>
      <c r="D32" t="s">
        <v>69</v>
      </c>
      <c r="E32" s="32">
        <v>1.7778</v>
      </c>
      <c r="F32" t="s">
        <v>70</v>
      </c>
    </row>
    <row r="33" spans="1:6" x14ac:dyDescent="0.25">
      <c r="B33" t="s">
        <v>71</v>
      </c>
      <c r="C33" t="s">
        <v>72</v>
      </c>
      <c r="D33" t="s">
        <v>73</v>
      </c>
      <c r="E33" s="32">
        <v>1.5</v>
      </c>
      <c r="F33" t="s">
        <v>74</v>
      </c>
    </row>
    <row r="35" spans="1:6" x14ac:dyDescent="0.25">
      <c r="B35" s="26" t="s">
        <v>75</v>
      </c>
      <c r="C35" t="s">
        <v>76</v>
      </c>
    </row>
    <row r="37" spans="1:6" x14ac:dyDescent="0.25">
      <c r="B37" s="101" t="s">
        <v>58</v>
      </c>
      <c r="C37" s="101" t="s">
        <v>77</v>
      </c>
      <c r="D37" s="101" t="s">
        <v>78</v>
      </c>
      <c r="E37" s="101" t="s">
        <v>79</v>
      </c>
      <c r="F37" s="101" t="s">
        <v>80</v>
      </c>
    </row>
    <row r="38" spans="1:6" x14ac:dyDescent="0.25">
      <c r="B38" t="s">
        <v>81</v>
      </c>
      <c r="C38" s="104">
        <v>472.7</v>
      </c>
      <c r="D38" s="104">
        <v>-130.32</v>
      </c>
      <c r="E38" t="s">
        <v>82</v>
      </c>
      <c r="F38" t="s">
        <v>83</v>
      </c>
    </row>
    <row r="39" spans="1:6" x14ac:dyDescent="0.25">
      <c r="B39" t="s">
        <v>67</v>
      </c>
      <c r="C39" s="104">
        <v>507.64</v>
      </c>
      <c r="D39" s="104">
        <v>-147.03</v>
      </c>
      <c r="E39" t="s">
        <v>84</v>
      </c>
      <c r="F39" t="s">
        <v>85</v>
      </c>
    </row>
    <row r="40" spans="1:6" x14ac:dyDescent="0.25">
      <c r="B40" t="s">
        <v>86</v>
      </c>
      <c r="C40" s="104">
        <v>315.5</v>
      </c>
      <c r="D40" s="104">
        <v>-41.22</v>
      </c>
      <c r="E40" t="s">
        <v>87</v>
      </c>
      <c r="F40" t="s">
        <v>88</v>
      </c>
    </row>
    <row r="42" spans="1:6" x14ac:dyDescent="0.25">
      <c r="B42" s="26" t="s">
        <v>89</v>
      </c>
      <c r="C42" t="s">
        <v>90</v>
      </c>
    </row>
    <row r="44" spans="1:6" x14ac:dyDescent="0.25">
      <c r="A44" s="96"/>
      <c r="B44" s="100" t="s">
        <v>91</v>
      </c>
      <c r="C44" s="96"/>
      <c r="D44" s="96"/>
      <c r="E44" s="96"/>
      <c r="F44" s="96"/>
    </row>
    <row r="45" spans="1:6" x14ac:dyDescent="0.25">
      <c r="B45" s="26" t="s">
        <v>30</v>
      </c>
      <c r="C45" t="s">
        <v>92</v>
      </c>
    </row>
    <row r="46" spans="1:6" x14ac:dyDescent="0.25">
      <c r="B46" s="26" t="s">
        <v>93</v>
      </c>
      <c r="C46" t="s">
        <v>94</v>
      </c>
    </row>
    <row r="47" spans="1:6" x14ac:dyDescent="0.25">
      <c r="B47" s="26" t="s">
        <v>95</v>
      </c>
      <c r="C47" t="s">
        <v>96</v>
      </c>
    </row>
    <row r="49" spans="1:6" x14ac:dyDescent="0.25">
      <c r="A49" s="96"/>
      <c r="B49" s="100" t="s">
        <v>97</v>
      </c>
      <c r="C49" s="96"/>
      <c r="D49" s="96"/>
      <c r="E49" s="96"/>
      <c r="F49" s="96"/>
    </row>
    <row r="50" spans="1:6" x14ac:dyDescent="0.25">
      <c r="B50" s="26" t="s">
        <v>98</v>
      </c>
      <c r="C50" t="s">
        <v>99</v>
      </c>
    </row>
    <row r="51" spans="1:6" x14ac:dyDescent="0.25">
      <c r="B51" s="26" t="s">
        <v>100</v>
      </c>
      <c r="C51" t="s">
        <v>101</v>
      </c>
    </row>
    <row r="52" spans="1:6" x14ac:dyDescent="0.25">
      <c r="B52" s="26" t="s">
        <v>102</v>
      </c>
      <c r="C52" t="s">
        <v>103</v>
      </c>
    </row>
    <row r="53" spans="1:6" x14ac:dyDescent="0.25">
      <c r="B53" s="26" t="s">
        <v>104</v>
      </c>
      <c r="C53" t="s">
        <v>105</v>
      </c>
    </row>
    <row r="54" spans="1:6" x14ac:dyDescent="0.25">
      <c r="A54">
        <v>5</v>
      </c>
      <c r="B54" s="95">
        <v>46076</v>
      </c>
      <c r="C54" t="s">
        <v>222</v>
      </c>
      <c r="D54" t="s">
        <v>223</v>
      </c>
      <c r="E54" t="s">
        <v>224</v>
      </c>
      <c r="F54" t="s">
        <v>225</v>
      </c>
    </row>
    <row r="55" spans="1:6" x14ac:dyDescent="0.25">
      <c r="A55">
        <v>6</v>
      </c>
      <c r="B55" s="95">
        <v>46076</v>
      </c>
      <c r="C55" t="s">
        <v>226</v>
      </c>
      <c r="D55" t="s">
        <v>227</v>
      </c>
      <c r="E55" t="s">
        <v>228</v>
      </c>
      <c r="F55" t="s">
        <v>229</v>
      </c>
    </row>
    <row r="56" spans="1:6" x14ac:dyDescent="0.25">
      <c r="A56">
        <v>7</v>
      </c>
      <c r="B56" s="95">
        <v>46076</v>
      </c>
      <c r="C56" t="s">
        <v>230</v>
      </c>
      <c r="D56" t="s">
        <v>231</v>
      </c>
      <c r="E56" t="s">
        <v>232</v>
      </c>
      <c r="F56" t="s">
        <v>233</v>
      </c>
    </row>
    <row r="57" spans="1:6" x14ac:dyDescent="0.25">
      <c r="A57">
        <v>8</v>
      </c>
      <c r="B57" s="95">
        <v>46076</v>
      </c>
      <c r="C57" t="s">
        <v>234</v>
      </c>
      <c r="D57" t="s">
        <v>235</v>
      </c>
      <c r="E57" t="s">
        <v>236</v>
      </c>
      <c r="F57" s="108" t="s">
        <v>237</v>
      </c>
    </row>
    <row r="58" spans="1:6" x14ac:dyDescent="0.25">
      <c r="A58">
        <v>9</v>
      </c>
      <c r="B58" s="95">
        <v>46076</v>
      </c>
      <c r="C58" t="s">
        <v>238</v>
      </c>
      <c r="D58" t="s">
        <v>239</v>
      </c>
      <c r="E58" t="s">
        <v>240</v>
      </c>
      <c r="F58" t="s">
        <v>241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105"/>
  <sheetViews>
    <sheetView tabSelected="1" zoomScaleNormal="100" workbookViewId="0">
      <pane ySplit="1" topLeftCell="A2" activePane="bottomLeft" state="frozen"/>
      <selection pane="bottomLeft" activeCell="B14" sqref="B14"/>
    </sheetView>
  </sheetViews>
  <sheetFormatPr defaultRowHeight="15" x14ac:dyDescent="0.25"/>
  <cols>
    <col min="1" max="1" width="10" style="6" customWidth="1"/>
    <col min="2" max="2" width="11" style="6" customWidth="1"/>
    <col min="3" max="3" width="13.42578125" style="6" customWidth="1"/>
    <col min="4" max="4" width="13.140625" style="6" customWidth="1"/>
    <col min="5" max="5" width="11.28515625" style="52" customWidth="1"/>
    <col min="6" max="6" width="13.42578125" style="52" customWidth="1"/>
    <col min="7" max="7" width="13.140625" style="52" customWidth="1"/>
    <col min="8" max="8" width="10.85546875" style="7" customWidth="1"/>
    <col min="9" max="9" width="11.5703125" style="6" customWidth="1"/>
    <col min="10" max="10" width="10.7109375" style="7" customWidth="1"/>
    <col min="11" max="11" width="10.42578125" style="8" customWidth="1"/>
    <col min="12" max="12" width="11.28515625" style="52" customWidth="1"/>
    <col min="13" max="13" width="11.28515625" style="8" customWidth="1"/>
    <col min="14" max="14" width="10.7109375" style="7" customWidth="1"/>
    <col min="15" max="15" width="11.42578125" style="8" customWidth="1"/>
    <col min="16" max="16" width="12.28515625" style="52" customWidth="1"/>
    <col min="17" max="17" width="12.28515625" style="8" customWidth="1"/>
    <col min="18" max="18" width="10.7109375" style="7" customWidth="1"/>
    <col min="19" max="19" width="11.42578125" style="8" customWidth="1"/>
    <col min="20" max="20" width="12.28515625" style="52" customWidth="1"/>
    <col min="21" max="21" width="12.28515625" style="8" customWidth="1"/>
    <col min="22" max="22" width="10.42578125" style="7" customWidth="1"/>
    <col min="23" max="23" width="14.7109375" style="65" customWidth="1"/>
    <col min="24" max="24" width="48.7109375" style="81" customWidth="1"/>
    <col min="25" max="25" width="14.7109375" style="55" customWidth="1"/>
    <col min="26" max="27" width="14.7109375" style="9" customWidth="1"/>
    <col min="28" max="30" width="9.140625" style="9" customWidth="1"/>
    <col min="31" max="16384" width="9.140625" style="9"/>
  </cols>
  <sheetData>
    <row r="1" spans="1:30" s="5" customFormat="1" ht="13.5" customHeight="1" thickBot="1" x14ac:dyDescent="0.25">
      <c r="A1" s="85" t="s">
        <v>106</v>
      </c>
      <c r="B1" s="86" t="s">
        <v>107</v>
      </c>
      <c r="C1" s="86" t="s">
        <v>108</v>
      </c>
      <c r="D1" s="86" t="s">
        <v>109</v>
      </c>
      <c r="E1" s="87" t="s">
        <v>110</v>
      </c>
      <c r="F1" s="87" t="s">
        <v>111</v>
      </c>
      <c r="G1" s="87" t="s">
        <v>112</v>
      </c>
      <c r="H1" s="88" t="s">
        <v>113</v>
      </c>
      <c r="I1" s="86" t="s">
        <v>114</v>
      </c>
      <c r="J1" s="88" t="s">
        <v>115</v>
      </c>
      <c r="K1" s="89" t="s">
        <v>116</v>
      </c>
      <c r="L1" s="87" t="s">
        <v>117</v>
      </c>
      <c r="M1" s="90" t="s">
        <v>118</v>
      </c>
      <c r="N1" s="88" t="s">
        <v>119</v>
      </c>
      <c r="O1" s="89" t="s">
        <v>120</v>
      </c>
      <c r="P1" s="87" t="s">
        <v>121</v>
      </c>
      <c r="Q1" s="90" t="s">
        <v>122</v>
      </c>
      <c r="R1" s="88" t="s">
        <v>123</v>
      </c>
      <c r="S1" s="89" t="s">
        <v>124</v>
      </c>
      <c r="T1" s="87" t="s">
        <v>125</v>
      </c>
      <c r="U1" s="90" t="s">
        <v>126</v>
      </c>
      <c r="V1" s="88" t="s">
        <v>127</v>
      </c>
      <c r="W1" s="91" t="s">
        <v>128</v>
      </c>
      <c r="X1" s="86" t="s">
        <v>129</v>
      </c>
      <c r="Y1" s="92" t="s">
        <v>130</v>
      </c>
      <c r="Z1" s="93" t="s">
        <v>131</v>
      </c>
      <c r="AA1" s="93" t="s">
        <v>132</v>
      </c>
    </row>
    <row r="2" spans="1:30" x14ac:dyDescent="0.25">
      <c r="A2" s="74" t="s">
        <v>133</v>
      </c>
      <c r="B2" s="74" t="s">
        <v>221</v>
      </c>
      <c r="C2" s="75" t="s">
        <v>135</v>
      </c>
      <c r="D2" s="75" t="s">
        <v>136</v>
      </c>
      <c r="E2" s="66">
        <v>260</v>
      </c>
      <c r="F2" s="66">
        <v>10.75</v>
      </c>
      <c r="G2" s="105">
        <v>46071</v>
      </c>
      <c r="H2" s="77">
        <v>10.75</v>
      </c>
      <c r="I2" s="78">
        <v>1</v>
      </c>
      <c r="J2" s="66">
        <v>11.3</v>
      </c>
      <c r="K2" s="79">
        <v>1</v>
      </c>
      <c r="L2" s="106">
        <v>46071</v>
      </c>
      <c r="M2" s="70">
        <f t="shared" ref="M2:M33" si="0">IF(L2="","",L2-G2)</f>
        <v>0</v>
      </c>
      <c r="N2" s="67"/>
      <c r="O2" s="68"/>
      <c r="P2" s="69"/>
      <c r="Q2" s="70">
        <f t="shared" ref="Q2:Q33" si="1">IF(P2="",M2,P2-G2)</f>
        <v>0</v>
      </c>
      <c r="R2" s="67"/>
      <c r="S2" s="68"/>
      <c r="T2" s="69"/>
      <c r="U2" s="70">
        <f t="shared" ref="U2:U33" si="2">IF(P2="",M2,IF(AND(P2="",T2=""),M2,IF(T2="",Q2,T2-G2)))</f>
        <v>0</v>
      </c>
      <c r="V2" s="66">
        <v>1.34</v>
      </c>
      <c r="W2" s="72">
        <f t="shared" ref="W2:W33" si="3">IF(A2="","",SUM(Y2:AA2)-V2)</f>
        <v>53.660000000000068</v>
      </c>
      <c r="X2" s="83"/>
      <c r="Y2" s="72">
        <f t="shared" ref="Y2:Y33" si="4">IF(D2="Long",((J2-H2)*K2),((H2-J2)*K2))*100</f>
        <v>55.000000000000071</v>
      </c>
      <c r="Z2" s="72">
        <f t="shared" ref="Z2:Z33" si="5">IF(D2="Long",((N2-H2)*O2),((H2-N2)*O2))*100</f>
        <v>0</v>
      </c>
      <c r="AA2" s="72">
        <f>IF(D2="long",((R2-H2)*S2),((H2-R2)*S2))*100</f>
        <v>0</v>
      </c>
      <c r="AC2" s="56" t="s">
        <v>136</v>
      </c>
    </row>
    <row r="3" spans="1:30" x14ac:dyDescent="0.25">
      <c r="A3" s="74" t="s">
        <v>137</v>
      </c>
      <c r="B3" s="74" t="s">
        <v>138</v>
      </c>
      <c r="C3" s="75" t="s">
        <v>135</v>
      </c>
      <c r="D3" s="75" t="s">
        <v>136</v>
      </c>
      <c r="E3" s="66">
        <v>300</v>
      </c>
      <c r="F3" s="66">
        <v>13.35</v>
      </c>
      <c r="G3" s="105">
        <v>46037</v>
      </c>
      <c r="H3" s="77">
        <v>13.35</v>
      </c>
      <c r="I3" s="78">
        <v>1</v>
      </c>
      <c r="J3" s="66">
        <v>19.100000000000001</v>
      </c>
      <c r="K3" s="79">
        <v>1</v>
      </c>
      <c r="L3" s="106">
        <v>46044</v>
      </c>
      <c r="M3" s="71">
        <f t="shared" si="0"/>
        <v>7</v>
      </c>
      <c r="N3" s="67"/>
      <c r="O3" s="68"/>
      <c r="P3" s="69"/>
      <c r="Q3" s="71">
        <f t="shared" si="1"/>
        <v>7</v>
      </c>
      <c r="R3" s="67"/>
      <c r="S3" s="68"/>
      <c r="T3" s="69"/>
      <c r="U3" s="70">
        <f t="shared" si="2"/>
        <v>7</v>
      </c>
      <c r="V3" s="66">
        <v>1.35</v>
      </c>
      <c r="W3" s="72">
        <f t="shared" si="3"/>
        <v>573.6500000000002</v>
      </c>
      <c r="X3" s="83"/>
      <c r="Y3" s="73">
        <f t="shared" si="4"/>
        <v>575.00000000000023</v>
      </c>
      <c r="Z3" s="72">
        <f t="shared" si="5"/>
        <v>0</v>
      </c>
      <c r="AA3" s="72">
        <f t="shared" ref="AA3:AA34" si="6">IF(D3="Long",((R3-H3)*S3),((H3-R3)*S3))*100</f>
        <v>0</v>
      </c>
      <c r="AC3" s="56" t="s">
        <v>139</v>
      </c>
    </row>
    <row r="4" spans="1:30" x14ac:dyDescent="0.25">
      <c r="A4" s="74" t="s">
        <v>140</v>
      </c>
      <c r="B4" s="74" t="s">
        <v>221</v>
      </c>
      <c r="C4" s="75" t="s">
        <v>135</v>
      </c>
      <c r="D4" s="75" t="s">
        <v>136</v>
      </c>
      <c r="E4" s="66">
        <v>200</v>
      </c>
      <c r="F4" s="66">
        <v>18.3</v>
      </c>
      <c r="G4" s="105">
        <v>46059</v>
      </c>
      <c r="H4" s="77">
        <v>18.3</v>
      </c>
      <c r="I4" s="78">
        <v>1</v>
      </c>
      <c r="J4" s="66">
        <v>18.100000000000001</v>
      </c>
      <c r="K4" s="79">
        <v>1</v>
      </c>
      <c r="L4" s="106">
        <v>46059</v>
      </c>
      <c r="M4" s="71">
        <f t="shared" si="0"/>
        <v>0</v>
      </c>
      <c r="N4" s="67"/>
      <c r="O4" s="68"/>
      <c r="P4" s="69"/>
      <c r="Q4" s="71">
        <f t="shared" si="1"/>
        <v>0</v>
      </c>
      <c r="R4" s="67"/>
      <c r="S4" s="68"/>
      <c r="T4" s="69"/>
      <c r="U4" s="70">
        <f t="shared" si="2"/>
        <v>0</v>
      </c>
      <c r="V4" s="66">
        <v>1.35</v>
      </c>
      <c r="W4" s="72">
        <f t="shared" si="3"/>
        <v>-21.34999999999993</v>
      </c>
      <c r="X4" s="83"/>
      <c r="Y4" s="73">
        <f t="shared" si="4"/>
        <v>-19.999999999999929</v>
      </c>
      <c r="Z4" s="72">
        <f t="shared" si="5"/>
        <v>0</v>
      </c>
      <c r="AA4" s="72">
        <f t="shared" si="6"/>
        <v>0</v>
      </c>
      <c r="AC4" s="58">
        <v>-1.25</v>
      </c>
      <c r="AD4" s="9" t="s">
        <v>141</v>
      </c>
    </row>
    <row r="5" spans="1:30" x14ac:dyDescent="0.25">
      <c r="A5" s="74" t="s">
        <v>140</v>
      </c>
      <c r="B5" s="74" t="s">
        <v>242</v>
      </c>
      <c r="C5" s="75" t="s">
        <v>135</v>
      </c>
      <c r="D5" s="75" t="s">
        <v>136</v>
      </c>
      <c r="E5" s="66">
        <v>210</v>
      </c>
      <c r="F5" s="66">
        <v>15.8</v>
      </c>
      <c r="G5" s="105">
        <v>46064</v>
      </c>
      <c r="H5" s="77">
        <v>15.8</v>
      </c>
      <c r="I5" s="78">
        <v>1</v>
      </c>
      <c r="J5" s="66">
        <v>12.25</v>
      </c>
      <c r="K5" s="79">
        <v>1</v>
      </c>
      <c r="L5" s="106">
        <v>46066</v>
      </c>
      <c r="M5" s="71">
        <f t="shared" si="0"/>
        <v>2</v>
      </c>
      <c r="N5" s="67"/>
      <c r="O5" s="68"/>
      <c r="P5" s="69"/>
      <c r="Q5" s="71">
        <f t="shared" si="1"/>
        <v>2</v>
      </c>
      <c r="R5" s="67"/>
      <c r="S5" s="68"/>
      <c r="T5" s="69"/>
      <c r="U5" s="70">
        <f t="shared" si="2"/>
        <v>2</v>
      </c>
      <c r="V5" s="66">
        <v>1.34</v>
      </c>
      <c r="W5" s="72">
        <f t="shared" si="3"/>
        <v>-356.34000000000003</v>
      </c>
      <c r="X5" s="83"/>
      <c r="Y5" s="73">
        <f t="shared" si="4"/>
        <v>-355.00000000000006</v>
      </c>
      <c r="Z5" s="72">
        <f t="shared" si="5"/>
        <v>0</v>
      </c>
      <c r="AA5" s="72">
        <f t="shared" si="6"/>
        <v>0</v>
      </c>
      <c r="AC5" s="59">
        <v>4.5999999999999996</v>
      </c>
      <c r="AD5" s="9" t="s">
        <v>142</v>
      </c>
    </row>
    <row r="6" spans="1:30" x14ac:dyDescent="0.25">
      <c r="A6" s="74" t="s">
        <v>143</v>
      </c>
      <c r="B6" s="74" t="s">
        <v>144</v>
      </c>
      <c r="C6" s="75" t="s">
        <v>145</v>
      </c>
      <c r="D6" s="75" t="s">
        <v>136</v>
      </c>
      <c r="E6" s="66">
        <v>175</v>
      </c>
      <c r="F6" s="66">
        <v>2.25</v>
      </c>
      <c r="G6" s="105">
        <v>46066</v>
      </c>
      <c r="H6" s="77">
        <v>2.25</v>
      </c>
      <c r="I6" s="78">
        <v>1</v>
      </c>
      <c r="J6" s="66">
        <v>2.2200000000000002</v>
      </c>
      <c r="K6" s="79">
        <v>1</v>
      </c>
      <c r="L6" s="106">
        <v>46066</v>
      </c>
      <c r="M6" s="71">
        <f t="shared" si="0"/>
        <v>0</v>
      </c>
      <c r="N6" s="67"/>
      <c r="O6" s="68"/>
      <c r="P6" s="69"/>
      <c r="Q6" s="71">
        <f t="shared" si="1"/>
        <v>0</v>
      </c>
      <c r="R6" s="67"/>
      <c r="S6" s="68"/>
      <c r="T6" s="69"/>
      <c r="U6" s="70">
        <f t="shared" si="2"/>
        <v>0</v>
      </c>
      <c r="V6" s="66">
        <v>1.33</v>
      </c>
      <c r="W6" s="72">
        <f t="shared" si="3"/>
        <v>-4.3299999999999805</v>
      </c>
      <c r="X6" s="83"/>
      <c r="Y6" s="73">
        <f t="shared" si="4"/>
        <v>-2.9999999999999805</v>
      </c>
      <c r="Z6" s="72">
        <f t="shared" si="5"/>
        <v>0</v>
      </c>
      <c r="AA6" s="72">
        <f t="shared" si="6"/>
        <v>0</v>
      </c>
      <c r="AC6" s="60">
        <v>0.23</v>
      </c>
      <c r="AD6" s="9" t="s">
        <v>146</v>
      </c>
    </row>
    <row r="7" spans="1:30" x14ac:dyDescent="0.25">
      <c r="A7" s="74" t="s">
        <v>147</v>
      </c>
      <c r="B7" s="74" t="s">
        <v>221</v>
      </c>
      <c r="C7" s="75" t="s">
        <v>145</v>
      </c>
      <c r="D7" s="75" t="s">
        <v>136</v>
      </c>
      <c r="E7" s="66">
        <v>247.5</v>
      </c>
      <c r="F7" s="66">
        <v>15.85</v>
      </c>
      <c r="G7" s="105">
        <v>46045</v>
      </c>
      <c r="H7" s="77">
        <v>15.85</v>
      </c>
      <c r="I7" s="78">
        <v>1</v>
      </c>
      <c r="J7" s="66">
        <v>16.05</v>
      </c>
      <c r="K7" s="79">
        <v>1</v>
      </c>
      <c r="L7" s="106">
        <v>46045</v>
      </c>
      <c r="M7" s="71">
        <f t="shared" si="0"/>
        <v>0</v>
      </c>
      <c r="N7" s="67"/>
      <c r="O7" s="68"/>
      <c r="P7" s="69"/>
      <c r="Q7" s="71">
        <f t="shared" si="1"/>
        <v>0</v>
      </c>
      <c r="R7" s="67"/>
      <c r="S7" s="68"/>
      <c r="T7" s="69"/>
      <c r="U7" s="70">
        <f t="shared" si="2"/>
        <v>0</v>
      </c>
      <c r="V7" s="66">
        <v>1.35</v>
      </c>
      <c r="W7" s="72">
        <f t="shared" si="3"/>
        <v>18.650000000000105</v>
      </c>
      <c r="X7" s="83"/>
      <c r="Y7" s="73">
        <f t="shared" si="4"/>
        <v>20.000000000000107</v>
      </c>
      <c r="Z7" s="72">
        <f t="shared" si="5"/>
        <v>0</v>
      </c>
      <c r="AA7" s="72">
        <f t="shared" si="6"/>
        <v>0</v>
      </c>
      <c r="AC7" s="61">
        <v>0</v>
      </c>
      <c r="AD7" s="9" t="s">
        <v>148</v>
      </c>
    </row>
    <row r="8" spans="1:30" x14ac:dyDescent="0.25">
      <c r="A8" s="74" t="s">
        <v>149</v>
      </c>
      <c r="B8" s="74" t="s">
        <v>244</v>
      </c>
      <c r="C8" s="75" t="s">
        <v>135</v>
      </c>
      <c r="D8" s="75" t="s">
        <v>136</v>
      </c>
      <c r="E8" s="66">
        <v>35</v>
      </c>
      <c r="F8" s="66">
        <v>3.4</v>
      </c>
      <c r="G8" s="105">
        <v>46056</v>
      </c>
      <c r="H8" s="77">
        <v>3.4</v>
      </c>
      <c r="I8" s="78">
        <v>4</v>
      </c>
      <c r="J8" s="66"/>
      <c r="K8" s="79"/>
      <c r="L8" s="80"/>
      <c r="M8" s="71" t="str">
        <f t="shared" si="0"/>
        <v/>
      </c>
      <c r="N8" s="67"/>
      <c r="O8" s="68"/>
      <c r="P8" s="69"/>
      <c r="Q8" s="71" t="str">
        <f t="shared" si="1"/>
        <v/>
      </c>
      <c r="R8" s="67"/>
      <c r="S8" s="68"/>
      <c r="T8" s="69"/>
      <c r="U8" s="70" t="str">
        <f t="shared" si="2"/>
        <v/>
      </c>
      <c r="V8" s="66">
        <v>2.62</v>
      </c>
      <c r="W8" s="72">
        <f t="shared" si="3"/>
        <v>-2.62</v>
      </c>
      <c r="X8" s="83"/>
      <c r="Y8" s="73">
        <f t="shared" si="4"/>
        <v>0</v>
      </c>
      <c r="Z8" s="72">
        <f t="shared" si="5"/>
        <v>0</v>
      </c>
      <c r="AA8" s="72">
        <f t="shared" si="6"/>
        <v>0</v>
      </c>
      <c r="AC8" s="62">
        <v>4.25</v>
      </c>
      <c r="AD8" s="9" t="s">
        <v>150</v>
      </c>
    </row>
    <row r="9" spans="1:30" x14ac:dyDescent="0.25">
      <c r="A9" s="74" t="s">
        <v>149</v>
      </c>
      <c r="B9" s="74" t="s">
        <v>244</v>
      </c>
      <c r="C9" s="75" t="s">
        <v>135</v>
      </c>
      <c r="D9" s="75" t="s">
        <v>136</v>
      </c>
      <c r="E9" s="66">
        <v>35</v>
      </c>
      <c r="F9" s="66">
        <v>0.9</v>
      </c>
      <c r="G9" s="105">
        <v>46058</v>
      </c>
      <c r="H9" s="77">
        <v>0.9</v>
      </c>
      <c r="I9" s="78">
        <v>3</v>
      </c>
      <c r="J9" s="66"/>
      <c r="K9" s="79"/>
      <c r="L9" s="80"/>
      <c r="M9" s="71" t="str">
        <f t="shared" si="0"/>
        <v/>
      </c>
      <c r="N9" s="67"/>
      <c r="O9" s="68"/>
      <c r="P9" s="69"/>
      <c r="Q9" s="71" t="str">
        <f t="shared" si="1"/>
        <v/>
      </c>
      <c r="R9" s="67"/>
      <c r="S9" s="68"/>
      <c r="T9" s="69"/>
      <c r="U9" s="70" t="str">
        <f t="shared" si="2"/>
        <v/>
      </c>
      <c r="V9" s="66">
        <v>1.97</v>
      </c>
      <c r="W9" s="72">
        <f t="shared" si="3"/>
        <v>-1.97</v>
      </c>
      <c r="X9" s="83"/>
      <c r="Y9" s="73">
        <f t="shared" si="4"/>
        <v>0</v>
      </c>
      <c r="Z9" s="72">
        <f t="shared" si="5"/>
        <v>0</v>
      </c>
      <c r="AA9" s="72">
        <f t="shared" si="6"/>
        <v>0</v>
      </c>
    </row>
    <row r="10" spans="1:30" ht="14.25" customHeight="1" x14ac:dyDescent="0.3">
      <c r="A10" s="74" t="s">
        <v>151</v>
      </c>
      <c r="B10" s="74" t="s">
        <v>138</v>
      </c>
      <c r="C10" s="75" t="s">
        <v>135</v>
      </c>
      <c r="D10" s="75" t="s">
        <v>136</v>
      </c>
      <c r="E10" s="66">
        <v>95</v>
      </c>
      <c r="F10" s="66">
        <v>1.8</v>
      </c>
      <c r="G10" s="105">
        <v>46028</v>
      </c>
      <c r="H10" s="77">
        <v>1.8</v>
      </c>
      <c r="I10" s="78">
        <v>4</v>
      </c>
      <c r="J10" s="66">
        <v>2.5</v>
      </c>
      <c r="K10" s="79">
        <v>4</v>
      </c>
      <c r="L10" s="106">
        <v>46028</v>
      </c>
      <c r="M10" s="71">
        <f t="shared" si="0"/>
        <v>0</v>
      </c>
      <c r="N10" s="67"/>
      <c r="O10" s="68"/>
      <c r="P10" s="69"/>
      <c r="Q10" s="71">
        <f t="shared" si="1"/>
        <v>0</v>
      </c>
      <c r="R10" s="67"/>
      <c r="S10" s="68"/>
      <c r="T10" s="69"/>
      <c r="U10" s="70">
        <f t="shared" si="2"/>
        <v>0</v>
      </c>
      <c r="V10" s="66">
        <v>5.26</v>
      </c>
      <c r="W10" s="72">
        <f t="shared" si="3"/>
        <v>274.74</v>
      </c>
      <c r="X10" s="83"/>
      <c r="Y10" s="73">
        <f t="shared" si="4"/>
        <v>280</v>
      </c>
      <c r="Z10" s="72">
        <f t="shared" si="5"/>
        <v>0</v>
      </c>
      <c r="AA10" s="72">
        <f t="shared" si="6"/>
        <v>0</v>
      </c>
      <c r="AC10" s="63" t="s">
        <v>152</v>
      </c>
    </row>
    <row r="11" spans="1:30" x14ac:dyDescent="0.25">
      <c r="A11" s="74" t="s">
        <v>153</v>
      </c>
      <c r="B11" s="74" t="s">
        <v>138</v>
      </c>
      <c r="C11" s="75" t="s">
        <v>135</v>
      </c>
      <c r="D11" s="75" t="s">
        <v>136</v>
      </c>
      <c r="E11" s="66">
        <v>100</v>
      </c>
      <c r="F11" s="66">
        <v>3.9</v>
      </c>
      <c r="G11" s="105">
        <v>46034</v>
      </c>
      <c r="H11" s="77">
        <v>3.9</v>
      </c>
      <c r="I11" s="78">
        <v>3</v>
      </c>
      <c r="J11" s="66">
        <v>10.15</v>
      </c>
      <c r="K11" s="79">
        <v>3</v>
      </c>
      <c r="L11" s="106">
        <v>46037</v>
      </c>
      <c r="M11" s="71">
        <f t="shared" si="0"/>
        <v>3</v>
      </c>
      <c r="N11" s="67"/>
      <c r="O11" s="68"/>
      <c r="P11" s="69"/>
      <c r="Q11" s="71">
        <f t="shared" si="1"/>
        <v>3</v>
      </c>
      <c r="R11" s="67"/>
      <c r="S11" s="68"/>
      <c r="T11" s="69"/>
      <c r="U11" s="70">
        <f t="shared" si="2"/>
        <v>3</v>
      </c>
      <c r="V11" s="66">
        <v>3.99</v>
      </c>
      <c r="W11" s="72">
        <f t="shared" si="3"/>
        <v>1871.01</v>
      </c>
      <c r="X11" s="83"/>
      <c r="Y11" s="73">
        <f t="shared" si="4"/>
        <v>1875</v>
      </c>
      <c r="Z11" s="72">
        <f t="shared" si="5"/>
        <v>0</v>
      </c>
      <c r="AA11" s="72">
        <f t="shared" si="6"/>
        <v>0</v>
      </c>
      <c r="AC11" s="9" t="s">
        <v>154</v>
      </c>
      <c r="AD11" s="9" t="s">
        <v>155</v>
      </c>
    </row>
    <row r="12" spans="1:30" x14ac:dyDescent="0.25">
      <c r="A12" s="74" t="s">
        <v>156</v>
      </c>
      <c r="B12" s="74" t="s">
        <v>243</v>
      </c>
      <c r="C12" s="75" t="s">
        <v>135</v>
      </c>
      <c r="D12" s="75" t="s">
        <v>136</v>
      </c>
      <c r="E12" s="66">
        <v>165</v>
      </c>
      <c r="F12" s="66">
        <v>13.95</v>
      </c>
      <c r="G12" s="105">
        <v>46066</v>
      </c>
      <c r="H12" s="77">
        <v>13.95</v>
      </c>
      <c r="I12" s="78">
        <v>1</v>
      </c>
      <c r="J12" s="66">
        <v>13.85</v>
      </c>
      <c r="K12" s="79">
        <v>1</v>
      </c>
      <c r="L12" s="106">
        <v>46066</v>
      </c>
      <c r="M12" s="71">
        <f t="shared" si="0"/>
        <v>0</v>
      </c>
      <c r="N12" s="67"/>
      <c r="O12" s="68"/>
      <c r="P12" s="69"/>
      <c r="Q12" s="71">
        <f t="shared" si="1"/>
        <v>0</v>
      </c>
      <c r="R12" s="67"/>
      <c r="S12" s="68"/>
      <c r="T12" s="69"/>
      <c r="U12" s="70">
        <f t="shared" si="2"/>
        <v>0</v>
      </c>
      <c r="V12" s="66">
        <v>1.34</v>
      </c>
      <c r="W12" s="72">
        <f t="shared" si="3"/>
        <v>-11.339999999999964</v>
      </c>
      <c r="X12" s="83"/>
      <c r="Y12" s="73">
        <f t="shared" si="4"/>
        <v>-9.9999999999999645</v>
      </c>
      <c r="Z12" s="72">
        <f t="shared" si="5"/>
        <v>0</v>
      </c>
      <c r="AA12" s="72">
        <f t="shared" si="6"/>
        <v>0</v>
      </c>
      <c r="AC12" s="9" t="s">
        <v>157</v>
      </c>
      <c r="AD12" s="9" t="s">
        <v>158</v>
      </c>
    </row>
    <row r="13" spans="1:30" x14ac:dyDescent="0.25">
      <c r="A13" s="74" t="s">
        <v>159</v>
      </c>
      <c r="B13" s="74" t="s">
        <v>243</v>
      </c>
      <c r="C13" s="75" t="s">
        <v>135</v>
      </c>
      <c r="D13" s="75" t="s">
        <v>136</v>
      </c>
      <c r="E13" s="66">
        <v>11</v>
      </c>
      <c r="F13" s="66">
        <v>1.29</v>
      </c>
      <c r="G13" s="105">
        <v>46065</v>
      </c>
      <c r="H13" s="77">
        <v>1.29</v>
      </c>
      <c r="I13" s="78">
        <v>10</v>
      </c>
      <c r="J13" s="66">
        <v>0.89</v>
      </c>
      <c r="K13" s="79">
        <v>10</v>
      </c>
      <c r="L13" s="106">
        <v>46066</v>
      </c>
      <c r="M13" s="71">
        <f t="shared" si="0"/>
        <v>1</v>
      </c>
      <c r="N13" s="67"/>
      <c r="O13" s="68"/>
      <c r="P13" s="69"/>
      <c r="Q13" s="71">
        <f t="shared" si="1"/>
        <v>1</v>
      </c>
      <c r="R13" s="67"/>
      <c r="S13" s="68"/>
      <c r="T13" s="69"/>
      <c r="U13" s="70">
        <f t="shared" si="2"/>
        <v>1</v>
      </c>
      <c r="V13" s="66">
        <v>13.14</v>
      </c>
      <c r="W13" s="72">
        <f t="shared" si="3"/>
        <v>-413.14</v>
      </c>
      <c r="X13" s="83"/>
      <c r="Y13" s="73">
        <f t="shared" si="4"/>
        <v>-400</v>
      </c>
      <c r="Z13" s="72">
        <f t="shared" si="5"/>
        <v>0</v>
      </c>
      <c r="AA13" s="72">
        <f t="shared" si="6"/>
        <v>0</v>
      </c>
      <c r="AC13" s="9" t="s">
        <v>160</v>
      </c>
      <c r="AD13" s="9" t="s">
        <v>161</v>
      </c>
    </row>
    <row r="14" spans="1:30" x14ac:dyDescent="0.25">
      <c r="A14" s="74" t="s">
        <v>162</v>
      </c>
      <c r="B14" s="74" t="s">
        <v>134</v>
      </c>
      <c r="C14" s="75" t="s">
        <v>135</v>
      </c>
      <c r="D14" s="75" t="s">
        <v>136</v>
      </c>
      <c r="E14" s="66">
        <v>7.5</v>
      </c>
      <c r="F14" s="66">
        <v>0.44</v>
      </c>
      <c r="G14" s="105">
        <v>46027</v>
      </c>
      <c r="H14" s="77">
        <v>0.44</v>
      </c>
      <c r="I14" s="78">
        <v>20</v>
      </c>
      <c r="J14" s="66">
        <v>0.35</v>
      </c>
      <c r="K14" s="79">
        <v>20</v>
      </c>
      <c r="L14" s="106">
        <v>46028</v>
      </c>
      <c r="M14" s="71">
        <f t="shared" si="0"/>
        <v>1</v>
      </c>
      <c r="N14" s="67"/>
      <c r="O14" s="68"/>
      <c r="P14" s="69"/>
      <c r="Q14" s="71">
        <f t="shared" si="1"/>
        <v>1</v>
      </c>
      <c r="R14" s="67"/>
      <c r="S14" s="68"/>
      <c r="T14" s="69"/>
      <c r="U14" s="70">
        <f t="shared" si="2"/>
        <v>1</v>
      </c>
      <c r="V14" s="66">
        <v>26.25</v>
      </c>
      <c r="W14" s="72">
        <f t="shared" si="3"/>
        <v>-206.25000000000006</v>
      </c>
      <c r="X14" s="83"/>
      <c r="Y14" s="73">
        <f t="shared" si="4"/>
        <v>-180.00000000000006</v>
      </c>
      <c r="Z14" s="72">
        <f t="shared" si="5"/>
        <v>0</v>
      </c>
      <c r="AA14" s="72">
        <f t="shared" si="6"/>
        <v>0</v>
      </c>
      <c r="AC14" s="9" t="s">
        <v>163</v>
      </c>
      <c r="AD14" s="9" t="s">
        <v>164</v>
      </c>
    </row>
    <row r="15" spans="1:30" x14ac:dyDescent="0.25">
      <c r="A15" s="74" t="s">
        <v>165</v>
      </c>
      <c r="B15" s="74" t="s">
        <v>134</v>
      </c>
      <c r="C15" s="75" t="s">
        <v>135</v>
      </c>
      <c r="D15" s="75" t="s">
        <v>136</v>
      </c>
      <c r="E15" s="66">
        <v>50</v>
      </c>
      <c r="F15" s="66">
        <v>2.93</v>
      </c>
      <c r="G15" s="105">
        <v>46065</v>
      </c>
      <c r="H15" s="77">
        <v>2.93</v>
      </c>
      <c r="I15" s="78">
        <v>6</v>
      </c>
      <c r="J15" s="66">
        <v>2.6</v>
      </c>
      <c r="K15" s="79">
        <v>6</v>
      </c>
      <c r="L15" s="106">
        <v>46066</v>
      </c>
      <c r="M15" s="71">
        <f t="shared" si="0"/>
        <v>1</v>
      </c>
      <c r="N15" s="67"/>
      <c r="O15" s="68"/>
      <c r="P15" s="69"/>
      <c r="Q15" s="71">
        <f t="shared" si="1"/>
        <v>1</v>
      </c>
      <c r="R15" s="67"/>
      <c r="S15" s="68"/>
      <c r="T15" s="69"/>
      <c r="U15" s="70">
        <f t="shared" si="2"/>
        <v>1</v>
      </c>
      <c r="V15" s="66">
        <v>7.91</v>
      </c>
      <c r="W15" s="72">
        <f t="shared" si="3"/>
        <v>-205.91000000000005</v>
      </c>
      <c r="X15" s="83"/>
      <c r="Y15" s="73">
        <f t="shared" si="4"/>
        <v>-198.00000000000006</v>
      </c>
      <c r="Z15" s="72">
        <f t="shared" si="5"/>
        <v>0</v>
      </c>
      <c r="AA15" s="72">
        <f t="shared" si="6"/>
        <v>0</v>
      </c>
      <c r="AC15" s="9" t="s">
        <v>166</v>
      </c>
      <c r="AD15" s="9" t="s">
        <v>167</v>
      </c>
    </row>
    <row r="16" spans="1:30" x14ac:dyDescent="0.25">
      <c r="A16" s="74" t="s">
        <v>168</v>
      </c>
      <c r="B16" s="74" t="s">
        <v>138</v>
      </c>
      <c r="C16" s="75" t="s">
        <v>135</v>
      </c>
      <c r="D16" s="75" t="s">
        <v>136</v>
      </c>
      <c r="E16" s="66">
        <v>320</v>
      </c>
      <c r="F16" s="66">
        <v>19.5</v>
      </c>
      <c r="G16" s="105">
        <v>46030</v>
      </c>
      <c r="H16" s="77">
        <v>19.5</v>
      </c>
      <c r="I16" s="78">
        <v>1</v>
      </c>
      <c r="J16" s="66">
        <v>29.05</v>
      </c>
      <c r="K16" s="79">
        <v>1</v>
      </c>
      <c r="L16" s="106">
        <v>46035</v>
      </c>
      <c r="M16" s="71">
        <f t="shared" si="0"/>
        <v>5</v>
      </c>
      <c r="N16" s="67"/>
      <c r="O16" s="68"/>
      <c r="P16" s="69"/>
      <c r="Q16" s="71">
        <f t="shared" si="1"/>
        <v>5</v>
      </c>
      <c r="R16" s="67"/>
      <c r="S16" s="68"/>
      <c r="T16" s="69"/>
      <c r="U16" s="70">
        <f t="shared" si="2"/>
        <v>5</v>
      </c>
      <c r="V16" s="66">
        <v>1.37</v>
      </c>
      <c r="W16" s="72">
        <f t="shared" si="3"/>
        <v>953.63000000000011</v>
      </c>
      <c r="X16" s="83"/>
      <c r="Y16" s="73">
        <f t="shared" si="4"/>
        <v>955.00000000000011</v>
      </c>
      <c r="Z16" s="72">
        <f t="shared" si="5"/>
        <v>0</v>
      </c>
      <c r="AA16" s="72">
        <f t="shared" si="6"/>
        <v>0</v>
      </c>
      <c r="AC16" s="9" t="s">
        <v>169</v>
      </c>
      <c r="AD16" s="9" t="s">
        <v>170</v>
      </c>
    </row>
    <row r="17" spans="1:30" x14ac:dyDescent="0.25">
      <c r="A17" s="74" t="s">
        <v>168</v>
      </c>
      <c r="B17" s="74" t="s">
        <v>221</v>
      </c>
      <c r="C17" s="75" t="s">
        <v>135</v>
      </c>
      <c r="D17" s="75" t="s">
        <v>136</v>
      </c>
      <c r="E17" s="66">
        <v>325</v>
      </c>
      <c r="F17" s="66">
        <v>15.65</v>
      </c>
      <c r="G17" s="105">
        <v>46058</v>
      </c>
      <c r="H17" s="77">
        <v>15.65</v>
      </c>
      <c r="I17" s="78">
        <v>1</v>
      </c>
      <c r="J17" s="66">
        <v>14.8</v>
      </c>
      <c r="K17" s="79">
        <v>1</v>
      </c>
      <c r="L17" s="106">
        <v>46058</v>
      </c>
      <c r="M17" s="71">
        <f t="shared" si="0"/>
        <v>0</v>
      </c>
      <c r="N17" s="67"/>
      <c r="O17" s="68"/>
      <c r="P17" s="69"/>
      <c r="Q17" s="71">
        <f t="shared" si="1"/>
        <v>0</v>
      </c>
      <c r="R17" s="67"/>
      <c r="S17" s="68"/>
      <c r="T17" s="69"/>
      <c r="U17" s="70">
        <f t="shared" si="2"/>
        <v>0</v>
      </c>
      <c r="V17" s="66">
        <v>1.35</v>
      </c>
      <c r="W17" s="72">
        <f t="shared" si="3"/>
        <v>-86.349999999999966</v>
      </c>
      <c r="X17" s="83"/>
      <c r="Y17" s="73">
        <f t="shared" si="4"/>
        <v>-84.999999999999972</v>
      </c>
      <c r="Z17" s="72">
        <f t="shared" si="5"/>
        <v>0</v>
      </c>
      <c r="AA17" s="72">
        <f t="shared" si="6"/>
        <v>0</v>
      </c>
      <c r="AC17" s="9" t="s">
        <v>171</v>
      </c>
      <c r="AD17" s="9" t="s">
        <v>172</v>
      </c>
    </row>
    <row r="18" spans="1:30" x14ac:dyDescent="0.25">
      <c r="A18" s="74" t="s">
        <v>168</v>
      </c>
      <c r="B18" s="74" t="s">
        <v>221</v>
      </c>
      <c r="C18" s="75" t="s">
        <v>145</v>
      </c>
      <c r="D18" s="75" t="s">
        <v>136</v>
      </c>
      <c r="E18" s="66">
        <v>295</v>
      </c>
      <c r="F18" s="66">
        <v>9.4</v>
      </c>
      <c r="G18" s="105">
        <v>46070</v>
      </c>
      <c r="H18" s="77">
        <v>9.4</v>
      </c>
      <c r="I18" s="78">
        <v>1</v>
      </c>
      <c r="J18" s="66">
        <v>8.9</v>
      </c>
      <c r="K18" s="79">
        <v>1</v>
      </c>
      <c r="L18" s="106">
        <v>46070</v>
      </c>
      <c r="M18" s="71">
        <f t="shared" si="0"/>
        <v>0</v>
      </c>
      <c r="N18" s="67"/>
      <c r="O18" s="68"/>
      <c r="P18" s="69"/>
      <c r="Q18" s="71">
        <f t="shared" si="1"/>
        <v>0</v>
      </c>
      <c r="R18" s="67"/>
      <c r="S18" s="68"/>
      <c r="T18" s="69"/>
      <c r="U18" s="70">
        <f t="shared" si="2"/>
        <v>0</v>
      </c>
      <c r="V18" s="66">
        <v>1.34</v>
      </c>
      <c r="W18" s="72">
        <f t="shared" si="3"/>
        <v>-51.34</v>
      </c>
      <c r="X18" s="83"/>
      <c r="Y18" s="73">
        <f t="shared" si="4"/>
        <v>-50</v>
      </c>
      <c r="Z18" s="72">
        <f t="shared" si="5"/>
        <v>0</v>
      </c>
      <c r="AA18" s="72">
        <f t="shared" si="6"/>
        <v>0</v>
      </c>
      <c r="AC18" s="9" t="s">
        <v>173</v>
      </c>
      <c r="AD18" s="9" t="s">
        <v>174</v>
      </c>
    </row>
    <row r="19" spans="1:30" x14ac:dyDescent="0.25">
      <c r="A19" s="74" t="s">
        <v>175</v>
      </c>
      <c r="B19" s="74" t="s">
        <v>243</v>
      </c>
      <c r="C19" s="75" t="s">
        <v>135</v>
      </c>
      <c r="D19" s="75" t="s">
        <v>136</v>
      </c>
      <c r="E19" s="66">
        <v>290</v>
      </c>
      <c r="F19" s="66">
        <v>5.6</v>
      </c>
      <c r="G19" s="105">
        <v>46024</v>
      </c>
      <c r="H19" s="77">
        <v>5.6</v>
      </c>
      <c r="I19" s="78">
        <v>2</v>
      </c>
      <c r="J19" s="66">
        <v>8.4</v>
      </c>
      <c r="K19" s="79">
        <v>2</v>
      </c>
      <c r="L19" s="106">
        <v>46027</v>
      </c>
      <c r="M19" s="71">
        <f t="shared" si="0"/>
        <v>3</v>
      </c>
      <c r="N19" s="67"/>
      <c r="O19" s="68"/>
      <c r="P19" s="69"/>
      <c r="Q19" s="71">
        <f t="shared" si="1"/>
        <v>3</v>
      </c>
      <c r="R19" s="67"/>
      <c r="S19" s="68"/>
      <c r="T19" s="69"/>
      <c r="U19" s="70">
        <f t="shared" si="2"/>
        <v>3</v>
      </c>
      <c r="V19" s="66">
        <v>2.65</v>
      </c>
      <c r="W19" s="72">
        <f t="shared" si="3"/>
        <v>557.35000000000014</v>
      </c>
      <c r="X19" s="83"/>
      <c r="Y19" s="73">
        <f t="shared" si="4"/>
        <v>560.00000000000011</v>
      </c>
      <c r="Z19" s="72">
        <f t="shared" si="5"/>
        <v>0</v>
      </c>
      <c r="AA19" s="72">
        <f t="shared" si="6"/>
        <v>0</v>
      </c>
      <c r="AC19" s="61" t="s">
        <v>221</v>
      </c>
    </row>
    <row r="20" spans="1:30" x14ac:dyDescent="0.25">
      <c r="A20" s="74" t="s">
        <v>175</v>
      </c>
      <c r="B20" s="74" t="s">
        <v>221</v>
      </c>
      <c r="C20" s="75" t="s">
        <v>145</v>
      </c>
      <c r="D20" s="75" t="s">
        <v>136</v>
      </c>
      <c r="E20" s="66">
        <v>260</v>
      </c>
      <c r="F20" s="66">
        <v>11.15</v>
      </c>
      <c r="G20" s="105">
        <v>46071</v>
      </c>
      <c r="H20" s="77">
        <v>11.15</v>
      </c>
      <c r="I20" s="78">
        <v>1</v>
      </c>
      <c r="J20" s="66">
        <v>10.45</v>
      </c>
      <c r="K20" s="79">
        <v>1</v>
      </c>
      <c r="L20" s="106">
        <v>46071</v>
      </c>
      <c r="M20" s="71">
        <f t="shared" si="0"/>
        <v>0</v>
      </c>
      <c r="N20" s="67"/>
      <c r="O20" s="68"/>
      <c r="P20" s="69"/>
      <c r="Q20" s="71">
        <f t="shared" si="1"/>
        <v>0</v>
      </c>
      <c r="R20" s="67"/>
      <c r="S20" s="68"/>
      <c r="T20" s="69"/>
      <c r="U20" s="70">
        <f t="shared" si="2"/>
        <v>0</v>
      </c>
      <c r="V20" s="66">
        <v>1.34</v>
      </c>
      <c r="W20" s="72">
        <f t="shared" si="3"/>
        <v>-71.340000000000117</v>
      </c>
      <c r="X20" s="83"/>
      <c r="Y20" s="73">
        <f t="shared" si="4"/>
        <v>-70.000000000000114</v>
      </c>
      <c r="Z20" s="72">
        <f t="shared" si="5"/>
        <v>0</v>
      </c>
      <c r="AA20" s="72">
        <f t="shared" si="6"/>
        <v>0</v>
      </c>
      <c r="AC20" s="61"/>
    </row>
    <row r="21" spans="1:30" x14ac:dyDescent="0.25">
      <c r="A21" s="74" t="s">
        <v>176</v>
      </c>
      <c r="B21" s="74" t="s">
        <v>138</v>
      </c>
      <c r="C21" s="75" t="s">
        <v>135</v>
      </c>
      <c r="D21" s="75" t="s">
        <v>136</v>
      </c>
      <c r="E21" s="66">
        <v>150</v>
      </c>
      <c r="F21" s="66">
        <v>12</v>
      </c>
      <c r="G21" s="105">
        <v>46043</v>
      </c>
      <c r="H21" s="77">
        <v>12</v>
      </c>
      <c r="I21" s="78">
        <v>1</v>
      </c>
      <c r="J21" s="66">
        <v>14.4</v>
      </c>
      <c r="K21" s="79">
        <v>1</v>
      </c>
      <c r="L21" s="106">
        <v>46043</v>
      </c>
      <c r="M21" s="71">
        <f t="shared" si="0"/>
        <v>0</v>
      </c>
      <c r="N21" s="67"/>
      <c r="O21" s="68"/>
      <c r="P21" s="69"/>
      <c r="Q21" s="71">
        <f t="shared" si="1"/>
        <v>0</v>
      </c>
      <c r="R21" s="67"/>
      <c r="S21" s="68"/>
      <c r="T21" s="69"/>
      <c r="U21" s="70">
        <f t="shared" si="2"/>
        <v>0</v>
      </c>
      <c r="V21" s="66">
        <v>1.34</v>
      </c>
      <c r="W21" s="72">
        <f t="shared" si="3"/>
        <v>238.66000000000003</v>
      </c>
      <c r="X21" s="83"/>
      <c r="Y21" s="73">
        <f t="shared" si="4"/>
        <v>240.00000000000003</v>
      </c>
      <c r="Z21" s="72">
        <f t="shared" si="5"/>
        <v>0</v>
      </c>
      <c r="AA21" s="72">
        <f t="shared" si="6"/>
        <v>0</v>
      </c>
    </row>
    <row r="22" spans="1:30" x14ac:dyDescent="0.25">
      <c r="A22" s="74" t="s">
        <v>177</v>
      </c>
      <c r="B22" s="74" t="s">
        <v>221</v>
      </c>
      <c r="C22" s="75" t="s">
        <v>135</v>
      </c>
      <c r="D22" s="75" t="s">
        <v>136</v>
      </c>
      <c r="E22" s="66">
        <v>49</v>
      </c>
      <c r="F22" s="66">
        <v>3.9</v>
      </c>
      <c r="G22" s="105">
        <v>46037</v>
      </c>
      <c r="H22" s="77">
        <v>3.9</v>
      </c>
      <c r="I22" s="78">
        <v>2</v>
      </c>
      <c r="J22" s="66">
        <v>4.05</v>
      </c>
      <c r="K22" s="79">
        <v>2</v>
      </c>
      <c r="L22" s="106">
        <v>46037</v>
      </c>
      <c r="M22" s="71">
        <f t="shared" si="0"/>
        <v>0</v>
      </c>
      <c r="N22" s="67"/>
      <c r="O22" s="68"/>
      <c r="P22" s="69"/>
      <c r="Q22" s="71">
        <f t="shared" si="1"/>
        <v>0</v>
      </c>
      <c r="R22" s="67"/>
      <c r="S22" s="68"/>
      <c r="T22" s="69"/>
      <c r="U22" s="70">
        <f t="shared" si="2"/>
        <v>0</v>
      </c>
      <c r="V22" s="66">
        <v>2.63</v>
      </c>
      <c r="W22" s="72">
        <f t="shared" si="3"/>
        <v>27.369999999999983</v>
      </c>
      <c r="X22" s="83"/>
      <c r="Y22" s="73">
        <f t="shared" si="4"/>
        <v>29.999999999999982</v>
      </c>
      <c r="Z22" s="72">
        <f t="shared" si="5"/>
        <v>0</v>
      </c>
      <c r="AA22" s="72">
        <f t="shared" si="6"/>
        <v>0</v>
      </c>
    </row>
    <row r="23" spans="1:30" x14ac:dyDescent="0.25">
      <c r="A23" s="74" t="s">
        <v>178</v>
      </c>
      <c r="B23" s="74" t="s">
        <v>179</v>
      </c>
      <c r="C23" s="75" t="s">
        <v>135</v>
      </c>
      <c r="D23" s="75" t="s">
        <v>136</v>
      </c>
      <c r="E23" s="66">
        <v>12</v>
      </c>
      <c r="F23" s="66">
        <v>1.9</v>
      </c>
      <c r="G23" s="105">
        <v>46045</v>
      </c>
      <c r="H23" s="77">
        <v>1.9</v>
      </c>
      <c r="I23" s="78">
        <v>4</v>
      </c>
      <c r="J23" s="66">
        <v>0.82</v>
      </c>
      <c r="K23" s="79">
        <v>4</v>
      </c>
      <c r="L23" s="106">
        <v>46057</v>
      </c>
      <c r="M23" s="71">
        <f t="shared" si="0"/>
        <v>12</v>
      </c>
      <c r="N23" s="67"/>
      <c r="O23" s="68"/>
      <c r="P23" s="69"/>
      <c r="Q23" s="71">
        <f t="shared" si="1"/>
        <v>12</v>
      </c>
      <c r="R23" s="67"/>
      <c r="S23" s="68"/>
      <c r="T23" s="69"/>
      <c r="U23" s="70">
        <f t="shared" si="2"/>
        <v>12</v>
      </c>
      <c r="V23" s="66">
        <v>5.25</v>
      </c>
      <c r="W23" s="72">
        <f t="shared" si="3"/>
        <v>-437.25</v>
      </c>
      <c r="X23" s="83"/>
      <c r="Y23" s="73">
        <f t="shared" si="4"/>
        <v>-432</v>
      </c>
      <c r="Z23" s="72">
        <f t="shared" si="5"/>
        <v>0</v>
      </c>
      <c r="AA23" s="72">
        <f t="shared" si="6"/>
        <v>0</v>
      </c>
    </row>
    <row r="24" spans="1:30" x14ac:dyDescent="0.25">
      <c r="A24" s="74" t="s">
        <v>180</v>
      </c>
      <c r="B24" s="74" t="s">
        <v>221</v>
      </c>
      <c r="C24" s="75" t="s">
        <v>135</v>
      </c>
      <c r="D24" s="75" t="s">
        <v>136</v>
      </c>
      <c r="E24" s="66">
        <v>370</v>
      </c>
      <c r="F24" s="66">
        <v>29.7</v>
      </c>
      <c r="G24" s="105">
        <v>46042</v>
      </c>
      <c r="H24" s="77">
        <v>29.7</v>
      </c>
      <c r="I24" s="78">
        <v>1</v>
      </c>
      <c r="J24" s="66">
        <v>29.55</v>
      </c>
      <c r="K24" s="79">
        <v>1</v>
      </c>
      <c r="L24" s="106">
        <v>46042</v>
      </c>
      <c r="M24" s="71">
        <f t="shared" si="0"/>
        <v>0</v>
      </c>
      <c r="N24" s="67"/>
      <c r="O24" s="68"/>
      <c r="P24" s="69"/>
      <c r="Q24" s="71">
        <f t="shared" si="1"/>
        <v>0</v>
      </c>
      <c r="R24" s="67"/>
      <c r="S24" s="68"/>
      <c r="T24" s="69"/>
      <c r="U24" s="70">
        <f t="shared" si="2"/>
        <v>0</v>
      </c>
      <c r="V24" s="66">
        <v>1.37</v>
      </c>
      <c r="W24" s="72">
        <f t="shared" si="3"/>
        <v>-16.369999999999859</v>
      </c>
      <c r="X24" s="83"/>
      <c r="Y24" s="73">
        <f t="shared" si="4"/>
        <v>-14.999999999999858</v>
      </c>
      <c r="Z24" s="72">
        <f t="shared" si="5"/>
        <v>0</v>
      </c>
      <c r="AA24" s="72">
        <f t="shared" si="6"/>
        <v>0</v>
      </c>
    </row>
    <row r="25" spans="1:30" x14ac:dyDescent="0.25">
      <c r="A25" s="74" t="s">
        <v>181</v>
      </c>
      <c r="B25" s="74" t="s">
        <v>244</v>
      </c>
      <c r="C25" s="75" t="s">
        <v>135</v>
      </c>
      <c r="D25" s="75" t="s">
        <v>136</v>
      </c>
      <c r="E25" s="66">
        <v>10</v>
      </c>
      <c r="F25" s="66">
        <v>2.09</v>
      </c>
      <c r="G25" s="105">
        <v>46027</v>
      </c>
      <c r="H25" s="77">
        <v>2.09</v>
      </c>
      <c r="I25" s="78">
        <v>4</v>
      </c>
      <c r="J25" s="66">
        <v>1.18</v>
      </c>
      <c r="K25" s="79">
        <v>4</v>
      </c>
      <c r="L25" s="106">
        <v>46028</v>
      </c>
      <c r="M25" s="71">
        <f t="shared" si="0"/>
        <v>1</v>
      </c>
      <c r="N25" s="67"/>
      <c r="O25" s="68"/>
      <c r="P25" s="69"/>
      <c r="Q25" s="71">
        <f t="shared" si="1"/>
        <v>1</v>
      </c>
      <c r="R25" s="67"/>
      <c r="S25" s="68"/>
      <c r="T25" s="69"/>
      <c r="U25" s="70">
        <f t="shared" si="2"/>
        <v>1</v>
      </c>
      <c r="V25" s="66">
        <v>5.25</v>
      </c>
      <c r="W25" s="72">
        <f t="shared" si="3"/>
        <v>-369.24999999999994</v>
      </c>
      <c r="X25" s="83"/>
      <c r="Y25" s="73">
        <f t="shared" si="4"/>
        <v>-363.99999999999994</v>
      </c>
      <c r="Z25" s="72">
        <f t="shared" si="5"/>
        <v>0</v>
      </c>
      <c r="AA25" s="72">
        <f t="shared" si="6"/>
        <v>0</v>
      </c>
    </row>
    <row r="26" spans="1:30" x14ac:dyDescent="0.25">
      <c r="A26" s="74" t="s">
        <v>182</v>
      </c>
      <c r="B26" s="74" t="s">
        <v>245</v>
      </c>
      <c r="C26" s="75" t="s">
        <v>135</v>
      </c>
      <c r="D26" s="75" t="s">
        <v>136</v>
      </c>
      <c r="E26" s="66">
        <v>692</v>
      </c>
      <c r="F26" s="66">
        <v>17.350000000000001</v>
      </c>
      <c r="G26" s="105">
        <v>46052</v>
      </c>
      <c r="H26" s="77">
        <v>17.350000000000001</v>
      </c>
      <c r="I26" s="78">
        <v>1</v>
      </c>
      <c r="J26" s="66">
        <v>16.39</v>
      </c>
      <c r="K26" s="79">
        <v>1</v>
      </c>
      <c r="L26" s="106">
        <v>46052</v>
      </c>
      <c r="M26" s="71">
        <f t="shared" si="0"/>
        <v>0</v>
      </c>
      <c r="N26" s="67"/>
      <c r="O26" s="68"/>
      <c r="P26" s="69"/>
      <c r="Q26" s="71">
        <f t="shared" si="1"/>
        <v>0</v>
      </c>
      <c r="R26" s="67"/>
      <c r="S26" s="68"/>
      <c r="T26" s="69"/>
      <c r="U26" s="70">
        <f t="shared" si="2"/>
        <v>0</v>
      </c>
      <c r="V26" s="66">
        <v>1.35</v>
      </c>
      <c r="W26" s="72">
        <f t="shared" si="3"/>
        <v>-97.35000000000008</v>
      </c>
      <c r="X26" s="83"/>
      <c r="Y26" s="73">
        <f t="shared" si="4"/>
        <v>-96.000000000000085</v>
      </c>
      <c r="Z26" s="72">
        <f t="shared" si="5"/>
        <v>0</v>
      </c>
      <c r="AA26" s="72">
        <f t="shared" si="6"/>
        <v>0</v>
      </c>
    </row>
    <row r="27" spans="1:30" x14ac:dyDescent="0.25">
      <c r="A27" s="74" t="s">
        <v>182</v>
      </c>
      <c r="B27" s="74" t="s">
        <v>246</v>
      </c>
      <c r="C27" s="75" t="s">
        <v>145</v>
      </c>
      <c r="D27" s="75" t="s">
        <v>136</v>
      </c>
      <c r="E27" s="66">
        <v>681</v>
      </c>
      <c r="F27" s="66">
        <v>12.54</v>
      </c>
      <c r="G27" s="105">
        <v>46058</v>
      </c>
      <c r="H27" s="77">
        <v>12.54</v>
      </c>
      <c r="I27" s="78">
        <v>1</v>
      </c>
      <c r="J27" s="66">
        <v>11.36</v>
      </c>
      <c r="K27" s="79">
        <v>1</v>
      </c>
      <c r="L27" s="106">
        <v>46058</v>
      </c>
      <c r="M27" s="71">
        <f t="shared" si="0"/>
        <v>0</v>
      </c>
      <c r="N27" s="67"/>
      <c r="O27" s="68"/>
      <c r="P27" s="69"/>
      <c r="Q27" s="71">
        <f t="shared" si="1"/>
        <v>0</v>
      </c>
      <c r="R27" s="67"/>
      <c r="S27" s="68"/>
      <c r="T27" s="69"/>
      <c r="U27" s="70">
        <f t="shared" si="2"/>
        <v>0</v>
      </c>
      <c r="V27" s="66">
        <v>1.34</v>
      </c>
      <c r="W27" s="72">
        <f t="shared" si="3"/>
        <v>-119.33999999999997</v>
      </c>
      <c r="X27" s="83"/>
      <c r="Y27" s="73">
        <f t="shared" si="4"/>
        <v>-117.99999999999997</v>
      </c>
      <c r="Z27" s="72">
        <f t="shared" si="5"/>
        <v>0</v>
      </c>
      <c r="AA27" s="72">
        <f t="shared" si="6"/>
        <v>0</v>
      </c>
    </row>
    <row r="28" spans="1:30" x14ac:dyDescent="0.25">
      <c r="A28" s="74" t="s">
        <v>183</v>
      </c>
      <c r="B28" s="74" t="s">
        <v>243</v>
      </c>
      <c r="C28" s="75" t="s">
        <v>135</v>
      </c>
      <c r="D28" s="75" t="s">
        <v>136</v>
      </c>
      <c r="E28" s="66">
        <v>280</v>
      </c>
      <c r="F28" s="66">
        <v>16.62</v>
      </c>
      <c r="G28" s="105">
        <v>46049</v>
      </c>
      <c r="H28" s="77">
        <v>16.62</v>
      </c>
      <c r="I28" s="78">
        <v>2</v>
      </c>
      <c r="J28" s="66">
        <v>16.600000000000001</v>
      </c>
      <c r="K28" s="79">
        <v>1</v>
      </c>
      <c r="L28" s="106">
        <v>46049</v>
      </c>
      <c r="M28" s="71">
        <f t="shared" si="0"/>
        <v>0</v>
      </c>
      <c r="N28" s="67">
        <v>16.649999999999999</v>
      </c>
      <c r="O28" s="68">
        <v>1</v>
      </c>
      <c r="P28" s="107">
        <v>46049</v>
      </c>
      <c r="Q28" s="71">
        <f t="shared" si="1"/>
        <v>0</v>
      </c>
      <c r="R28" s="67"/>
      <c r="S28" s="68"/>
      <c r="T28" s="69"/>
      <c r="U28" s="70">
        <f t="shared" si="2"/>
        <v>0</v>
      </c>
      <c r="V28" s="66">
        <v>2.7</v>
      </c>
      <c r="W28" s="72">
        <f t="shared" si="3"/>
        <v>-1.7000000000001991</v>
      </c>
      <c r="X28" s="83"/>
      <c r="Y28" s="73">
        <f t="shared" si="4"/>
        <v>-1.9999999999999574</v>
      </c>
      <c r="Z28" s="72">
        <f t="shared" si="5"/>
        <v>2.9999999999997584</v>
      </c>
      <c r="AA28" s="72">
        <f t="shared" si="6"/>
        <v>0</v>
      </c>
    </row>
    <row r="29" spans="1:30" x14ac:dyDescent="0.25">
      <c r="A29" s="74" t="s">
        <v>184</v>
      </c>
      <c r="B29" s="74" t="s">
        <v>138</v>
      </c>
      <c r="C29" s="75" t="s">
        <v>135</v>
      </c>
      <c r="D29" s="75" t="s">
        <v>136</v>
      </c>
      <c r="E29" s="66">
        <v>40</v>
      </c>
      <c r="F29" s="66">
        <v>4.9000000000000004</v>
      </c>
      <c r="G29" s="105">
        <v>46034</v>
      </c>
      <c r="H29" s="77">
        <v>4.9000000000000004</v>
      </c>
      <c r="I29" s="78">
        <v>1</v>
      </c>
      <c r="J29" s="66">
        <v>10.1</v>
      </c>
      <c r="K29" s="79">
        <v>1</v>
      </c>
      <c r="L29" s="106">
        <v>46050</v>
      </c>
      <c r="M29" s="71">
        <f t="shared" si="0"/>
        <v>16</v>
      </c>
      <c r="N29" s="67"/>
      <c r="O29" s="68"/>
      <c r="P29" s="69"/>
      <c r="Q29" s="71">
        <f t="shared" si="1"/>
        <v>16</v>
      </c>
      <c r="R29" s="67"/>
      <c r="S29" s="68"/>
      <c r="T29" s="69"/>
      <c r="U29" s="70">
        <f t="shared" si="2"/>
        <v>16</v>
      </c>
      <c r="V29" s="66">
        <v>1.34</v>
      </c>
      <c r="W29" s="72">
        <f t="shared" si="3"/>
        <v>518.65999999999985</v>
      </c>
      <c r="X29" s="83"/>
      <c r="Y29" s="73">
        <f t="shared" si="4"/>
        <v>519.99999999999989</v>
      </c>
      <c r="Z29" s="72">
        <f t="shared" si="5"/>
        <v>0</v>
      </c>
      <c r="AA29" s="72">
        <f t="shared" si="6"/>
        <v>0</v>
      </c>
    </row>
    <row r="30" spans="1:30" x14ac:dyDescent="0.25">
      <c r="A30" s="74" t="s">
        <v>184</v>
      </c>
      <c r="B30" s="74" t="s">
        <v>138</v>
      </c>
      <c r="C30" s="75" t="s">
        <v>135</v>
      </c>
      <c r="D30" s="75" t="s">
        <v>136</v>
      </c>
      <c r="E30" s="66">
        <v>42</v>
      </c>
      <c r="F30" s="66">
        <v>8.6999999999999993</v>
      </c>
      <c r="G30" s="105">
        <v>46050</v>
      </c>
      <c r="H30" s="77">
        <v>8.6999999999999993</v>
      </c>
      <c r="I30" s="78">
        <v>2</v>
      </c>
      <c r="J30" s="66">
        <v>10.1</v>
      </c>
      <c r="K30" s="79">
        <v>1</v>
      </c>
      <c r="L30" s="106">
        <v>46050</v>
      </c>
      <c r="M30" s="71">
        <f t="shared" si="0"/>
        <v>0</v>
      </c>
      <c r="N30" s="67">
        <v>8.4499999999999993</v>
      </c>
      <c r="O30" s="68">
        <v>1</v>
      </c>
      <c r="P30" s="107">
        <v>46050</v>
      </c>
      <c r="Q30" s="71">
        <f t="shared" si="1"/>
        <v>0</v>
      </c>
      <c r="R30" s="67"/>
      <c r="S30" s="68"/>
      <c r="T30" s="69"/>
      <c r="U30" s="70">
        <f t="shared" si="2"/>
        <v>0</v>
      </c>
      <c r="V30" s="66">
        <v>2.67</v>
      </c>
      <c r="W30" s="72">
        <f t="shared" si="3"/>
        <v>112.33000000000003</v>
      </c>
      <c r="X30" s="83"/>
      <c r="Y30" s="73">
        <f t="shared" si="4"/>
        <v>140.00000000000003</v>
      </c>
      <c r="Z30" s="72">
        <f t="shared" si="5"/>
        <v>-25</v>
      </c>
      <c r="AA30" s="72">
        <f t="shared" si="6"/>
        <v>0</v>
      </c>
    </row>
    <row r="31" spans="1:30" x14ac:dyDescent="0.25">
      <c r="A31" s="74" t="s">
        <v>185</v>
      </c>
      <c r="B31" s="74" t="s">
        <v>138</v>
      </c>
      <c r="C31" s="75" t="s">
        <v>135</v>
      </c>
      <c r="D31" s="75" t="s">
        <v>136</v>
      </c>
      <c r="E31" s="66">
        <v>52.5</v>
      </c>
      <c r="F31" s="66">
        <v>1.67</v>
      </c>
      <c r="G31" s="105">
        <v>46073</v>
      </c>
      <c r="H31" s="77">
        <v>1.67</v>
      </c>
      <c r="I31" s="78">
        <v>4</v>
      </c>
      <c r="J31" s="66"/>
      <c r="K31" s="79"/>
      <c r="L31" s="80"/>
      <c r="M31" s="71" t="str">
        <f t="shared" si="0"/>
        <v/>
      </c>
      <c r="N31" s="67"/>
      <c r="O31" s="68"/>
      <c r="P31" s="69"/>
      <c r="Q31" s="71" t="str">
        <f t="shared" si="1"/>
        <v/>
      </c>
      <c r="R31" s="67"/>
      <c r="S31" s="68"/>
      <c r="T31" s="69"/>
      <c r="U31" s="70" t="str">
        <f t="shared" si="2"/>
        <v/>
      </c>
      <c r="V31" s="66">
        <v>2.62</v>
      </c>
      <c r="W31" s="72">
        <f t="shared" si="3"/>
        <v>-2.62</v>
      </c>
      <c r="X31" s="83"/>
      <c r="Y31" s="73">
        <f t="shared" si="4"/>
        <v>0</v>
      </c>
      <c r="Z31" s="72">
        <f t="shared" si="5"/>
        <v>0</v>
      </c>
      <c r="AA31" s="72">
        <f t="shared" si="6"/>
        <v>0</v>
      </c>
    </row>
    <row r="32" spans="1:30" x14ac:dyDescent="0.25">
      <c r="A32" s="74"/>
      <c r="B32" s="74"/>
      <c r="C32" s="75"/>
      <c r="D32" s="75"/>
      <c r="E32" s="66"/>
      <c r="F32" s="66"/>
      <c r="G32" s="76"/>
      <c r="H32" s="77"/>
      <c r="I32" s="78"/>
      <c r="J32" s="66"/>
      <c r="K32" s="79"/>
      <c r="L32" s="80"/>
      <c r="M32" s="71" t="str">
        <f t="shared" si="0"/>
        <v/>
      </c>
      <c r="N32" s="67"/>
      <c r="O32" s="68"/>
      <c r="P32" s="69"/>
      <c r="Q32" s="71" t="str">
        <f t="shared" si="1"/>
        <v/>
      </c>
      <c r="R32" s="67"/>
      <c r="S32" s="68"/>
      <c r="T32" s="69"/>
      <c r="U32" s="70" t="str">
        <f t="shared" si="2"/>
        <v/>
      </c>
      <c r="V32" s="66"/>
      <c r="W32" s="72" t="str">
        <f t="shared" si="3"/>
        <v/>
      </c>
      <c r="X32" s="83"/>
      <c r="Y32" s="73">
        <f t="shared" si="4"/>
        <v>0</v>
      </c>
      <c r="Z32" s="72">
        <f t="shared" si="5"/>
        <v>0</v>
      </c>
      <c r="AA32" s="72">
        <f t="shared" si="6"/>
        <v>0</v>
      </c>
    </row>
    <row r="33" spans="1:27" x14ac:dyDescent="0.25">
      <c r="A33" s="74"/>
      <c r="B33" s="74"/>
      <c r="C33" s="75"/>
      <c r="D33" s="75"/>
      <c r="E33" s="66"/>
      <c r="F33" s="66"/>
      <c r="G33" s="76"/>
      <c r="H33" s="77"/>
      <c r="I33" s="78"/>
      <c r="J33" s="66"/>
      <c r="K33" s="79"/>
      <c r="L33" s="80"/>
      <c r="M33" s="71" t="str">
        <f t="shared" si="0"/>
        <v/>
      </c>
      <c r="N33" s="67"/>
      <c r="O33" s="68"/>
      <c r="P33" s="69"/>
      <c r="Q33" s="71" t="str">
        <f t="shared" si="1"/>
        <v/>
      </c>
      <c r="R33" s="67"/>
      <c r="S33" s="68"/>
      <c r="T33" s="69"/>
      <c r="U33" s="70" t="str">
        <f t="shared" si="2"/>
        <v/>
      </c>
      <c r="V33" s="66"/>
      <c r="W33" s="72" t="str">
        <f t="shared" si="3"/>
        <v/>
      </c>
      <c r="X33" s="83"/>
      <c r="Y33" s="73">
        <f t="shared" si="4"/>
        <v>0</v>
      </c>
      <c r="Z33" s="72">
        <f t="shared" si="5"/>
        <v>0</v>
      </c>
      <c r="AA33" s="72">
        <f t="shared" si="6"/>
        <v>0</v>
      </c>
    </row>
    <row r="34" spans="1:27" x14ac:dyDescent="0.25">
      <c r="A34" s="74"/>
      <c r="B34" s="74"/>
      <c r="C34" s="75"/>
      <c r="D34" s="75"/>
      <c r="E34" s="66"/>
      <c r="F34" s="66"/>
      <c r="G34" s="76"/>
      <c r="H34" s="77"/>
      <c r="I34" s="78"/>
      <c r="J34" s="66"/>
      <c r="K34" s="79"/>
      <c r="L34" s="80"/>
      <c r="M34" s="71" t="str">
        <f t="shared" ref="M34:M65" si="7">IF(L34="","",L34-G34)</f>
        <v/>
      </c>
      <c r="N34" s="67"/>
      <c r="O34" s="68"/>
      <c r="P34" s="69"/>
      <c r="Q34" s="71" t="str">
        <f t="shared" ref="Q34:Q65" si="8">IF(P34="",M34,P34-G34)</f>
        <v/>
      </c>
      <c r="R34" s="67"/>
      <c r="S34" s="68"/>
      <c r="T34" s="69"/>
      <c r="U34" s="70" t="str">
        <f t="shared" ref="U34:U65" si="9">IF(P34="",M34,IF(AND(P34="",T34=""),M34,IF(T34="",Q34,T34-G34)))</f>
        <v/>
      </c>
      <c r="V34" s="66"/>
      <c r="W34" s="72" t="str">
        <f t="shared" ref="W34:W65" si="10">IF(A34="","",SUM(Y34:AA34)-V34)</f>
        <v/>
      </c>
      <c r="X34" s="83"/>
      <c r="Y34" s="73">
        <f t="shared" ref="Y34:Y65" si="11">IF(D34="Long",((J34-H34)*K34),((H34-J34)*K34))*100</f>
        <v>0</v>
      </c>
      <c r="Z34" s="72">
        <f t="shared" ref="Z34:Z65" si="12">IF(D34="Long",((N34-H34)*O34),((H34-N34)*O34))*100</f>
        <v>0</v>
      </c>
      <c r="AA34" s="72">
        <f t="shared" si="6"/>
        <v>0</v>
      </c>
    </row>
    <row r="35" spans="1:27" x14ac:dyDescent="0.25">
      <c r="A35" s="74"/>
      <c r="B35" s="74"/>
      <c r="C35" s="75"/>
      <c r="D35" s="75"/>
      <c r="E35" s="66"/>
      <c r="F35" s="66"/>
      <c r="G35" s="76"/>
      <c r="H35" s="77"/>
      <c r="I35" s="78"/>
      <c r="J35" s="66"/>
      <c r="K35" s="79"/>
      <c r="L35" s="80"/>
      <c r="M35" s="71" t="str">
        <f t="shared" si="7"/>
        <v/>
      </c>
      <c r="N35" s="67"/>
      <c r="O35" s="68"/>
      <c r="P35" s="69"/>
      <c r="Q35" s="71" t="str">
        <f t="shared" si="8"/>
        <v/>
      </c>
      <c r="R35" s="67"/>
      <c r="S35" s="68"/>
      <c r="T35" s="69"/>
      <c r="U35" s="70" t="str">
        <f t="shared" si="9"/>
        <v/>
      </c>
      <c r="V35" s="66"/>
      <c r="W35" s="72" t="str">
        <f t="shared" si="10"/>
        <v/>
      </c>
      <c r="X35" s="83"/>
      <c r="Y35" s="73">
        <f t="shared" si="11"/>
        <v>0</v>
      </c>
      <c r="Z35" s="72">
        <f t="shared" si="12"/>
        <v>0</v>
      </c>
      <c r="AA35" s="72">
        <f t="shared" ref="AA35:AA66" si="13">IF(D35="Long",((R35-H35)*S35),((H35-R35)*S35))*100</f>
        <v>0</v>
      </c>
    </row>
    <row r="36" spans="1:27" x14ac:dyDescent="0.25">
      <c r="A36" s="74"/>
      <c r="B36" s="74"/>
      <c r="C36" s="75"/>
      <c r="D36" s="75"/>
      <c r="E36" s="66"/>
      <c r="F36" s="66"/>
      <c r="G36" s="76"/>
      <c r="H36" s="77"/>
      <c r="I36" s="78"/>
      <c r="J36" s="66"/>
      <c r="K36" s="79"/>
      <c r="L36" s="80"/>
      <c r="M36" s="71" t="str">
        <f t="shared" si="7"/>
        <v/>
      </c>
      <c r="N36" s="67"/>
      <c r="O36" s="68"/>
      <c r="P36" s="69"/>
      <c r="Q36" s="71" t="str">
        <f t="shared" si="8"/>
        <v/>
      </c>
      <c r="R36" s="67"/>
      <c r="S36" s="68"/>
      <c r="T36" s="69"/>
      <c r="U36" s="70" t="str">
        <f t="shared" si="9"/>
        <v/>
      </c>
      <c r="V36" s="66"/>
      <c r="W36" s="72" t="str">
        <f t="shared" si="10"/>
        <v/>
      </c>
      <c r="X36" s="83"/>
      <c r="Y36" s="73">
        <f t="shared" si="11"/>
        <v>0</v>
      </c>
      <c r="Z36" s="72">
        <f t="shared" si="12"/>
        <v>0</v>
      </c>
      <c r="AA36" s="72">
        <f t="shared" si="13"/>
        <v>0</v>
      </c>
    </row>
    <row r="37" spans="1:27" x14ac:dyDescent="0.25">
      <c r="A37" s="74"/>
      <c r="B37" s="74"/>
      <c r="C37" s="75"/>
      <c r="D37" s="75"/>
      <c r="E37" s="66"/>
      <c r="F37" s="66"/>
      <c r="G37" s="76"/>
      <c r="H37" s="77"/>
      <c r="I37" s="78"/>
      <c r="J37" s="66"/>
      <c r="K37" s="79"/>
      <c r="L37" s="80"/>
      <c r="M37" s="71" t="str">
        <f t="shared" si="7"/>
        <v/>
      </c>
      <c r="N37" s="67"/>
      <c r="O37" s="68"/>
      <c r="P37" s="69"/>
      <c r="Q37" s="71" t="str">
        <f t="shared" si="8"/>
        <v/>
      </c>
      <c r="R37" s="67"/>
      <c r="S37" s="68"/>
      <c r="T37" s="69"/>
      <c r="U37" s="70" t="str">
        <f t="shared" si="9"/>
        <v/>
      </c>
      <c r="V37" s="66"/>
      <c r="W37" s="72" t="str">
        <f t="shared" si="10"/>
        <v/>
      </c>
      <c r="X37" s="83"/>
      <c r="Y37" s="73">
        <f t="shared" si="11"/>
        <v>0</v>
      </c>
      <c r="Z37" s="72">
        <f t="shared" si="12"/>
        <v>0</v>
      </c>
      <c r="AA37" s="72">
        <f t="shared" si="13"/>
        <v>0</v>
      </c>
    </row>
    <row r="38" spans="1:27" x14ac:dyDescent="0.25">
      <c r="A38" s="74"/>
      <c r="B38" s="74"/>
      <c r="C38" s="75"/>
      <c r="D38" s="75"/>
      <c r="E38" s="66"/>
      <c r="F38" s="66"/>
      <c r="G38" s="76"/>
      <c r="H38" s="77"/>
      <c r="I38" s="78"/>
      <c r="J38" s="66"/>
      <c r="K38" s="79"/>
      <c r="L38" s="80"/>
      <c r="M38" s="71" t="str">
        <f t="shared" si="7"/>
        <v/>
      </c>
      <c r="N38" s="67"/>
      <c r="O38" s="68"/>
      <c r="P38" s="69"/>
      <c r="Q38" s="71" t="str">
        <f t="shared" si="8"/>
        <v/>
      </c>
      <c r="R38" s="67"/>
      <c r="S38" s="68"/>
      <c r="T38" s="69"/>
      <c r="U38" s="70" t="str">
        <f t="shared" si="9"/>
        <v/>
      </c>
      <c r="V38" s="66"/>
      <c r="W38" s="72" t="str">
        <f t="shared" si="10"/>
        <v/>
      </c>
      <c r="X38" s="83"/>
      <c r="Y38" s="73">
        <f t="shared" si="11"/>
        <v>0</v>
      </c>
      <c r="Z38" s="72">
        <f t="shared" si="12"/>
        <v>0</v>
      </c>
      <c r="AA38" s="72">
        <f t="shared" si="13"/>
        <v>0</v>
      </c>
    </row>
    <row r="39" spans="1:27" x14ac:dyDescent="0.25">
      <c r="A39" s="74"/>
      <c r="B39" s="74"/>
      <c r="C39" s="75"/>
      <c r="D39" s="75"/>
      <c r="E39" s="66"/>
      <c r="F39" s="66"/>
      <c r="G39" s="76"/>
      <c r="H39" s="77"/>
      <c r="I39" s="78"/>
      <c r="J39" s="66"/>
      <c r="K39" s="79"/>
      <c r="L39" s="80"/>
      <c r="M39" s="71" t="str">
        <f t="shared" si="7"/>
        <v/>
      </c>
      <c r="N39" s="67"/>
      <c r="O39" s="68"/>
      <c r="P39" s="69"/>
      <c r="Q39" s="71" t="str">
        <f t="shared" si="8"/>
        <v/>
      </c>
      <c r="R39" s="67"/>
      <c r="S39" s="68"/>
      <c r="T39" s="69"/>
      <c r="U39" s="70" t="str">
        <f t="shared" si="9"/>
        <v/>
      </c>
      <c r="V39" s="66"/>
      <c r="W39" s="72" t="str">
        <f t="shared" si="10"/>
        <v/>
      </c>
      <c r="X39" s="83"/>
      <c r="Y39" s="73">
        <f t="shared" si="11"/>
        <v>0</v>
      </c>
      <c r="Z39" s="72">
        <f t="shared" si="12"/>
        <v>0</v>
      </c>
      <c r="AA39" s="72">
        <f t="shared" si="13"/>
        <v>0</v>
      </c>
    </row>
    <row r="40" spans="1:27" x14ac:dyDescent="0.25">
      <c r="A40" s="74"/>
      <c r="B40" s="74"/>
      <c r="C40" s="75"/>
      <c r="D40" s="75"/>
      <c r="E40" s="66"/>
      <c r="F40" s="66"/>
      <c r="G40" s="76"/>
      <c r="H40" s="77"/>
      <c r="I40" s="78"/>
      <c r="J40" s="66"/>
      <c r="K40" s="79"/>
      <c r="L40" s="80"/>
      <c r="M40" s="71" t="str">
        <f t="shared" si="7"/>
        <v/>
      </c>
      <c r="N40" s="67"/>
      <c r="O40" s="68"/>
      <c r="P40" s="69"/>
      <c r="Q40" s="71" t="str">
        <f t="shared" si="8"/>
        <v/>
      </c>
      <c r="R40" s="67"/>
      <c r="S40" s="68"/>
      <c r="T40" s="69"/>
      <c r="U40" s="70" t="str">
        <f t="shared" si="9"/>
        <v/>
      </c>
      <c r="V40" s="66"/>
      <c r="W40" s="72" t="str">
        <f t="shared" si="10"/>
        <v/>
      </c>
      <c r="X40" s="83"/>
      <c r="Y40" s="73">
        <f t="shared" si="11"/>
        <v>0</v>
      </c>
      <c r="Z40" s="72">
        <f t="shared" si="12"/>
        <v>0</v>
      </c>
      <c r="AA40" s="72">
        <f t="shared" si="13"/>
        <v>0</v>
      </c>
    </row>
    <row r="41" spans="1:27" x14ac:dyDescent="0.25">
      <c r="A41" s="74"/>
      <c r="B41" s="74"/>
      <c r="C41" s="75"/>
      <c r="D41" s="75"/>
      <c r="E41" s="66"/>
      <c r="F41" s="66"/>
      <c r="G41" s="76"/>
      <c r="H41" s="77"/>
      <c r="I41" s="78"/>
      <c r="J41" s="66"/>
      <c r="K41" s="79"/>
      <c r="L41" s="80"/>
      <c r="M41" s="71" t="str">
        <f t="shared" si="7"/>
        <v/>
      </c>
      <c r="N41" s="67"/>
      <c r="O41" s="68"/>
      <c r="P41" s="69"/>
      <c r="Q41" s="71" t="str">
        <f t="shared" si="8"/>
        <v/>
      </c>
      <c r="R41" s="67"/>
      <c r="S41" s="68"/>
      <c r="T41" s="69"/>
      <c r="U41" s="70" t="str">
        <f t="shared" si="9"/>
        <v/>
      </c>
      <c r="V41" s="66"/>
      <c r="W41" s="72" t="str">
        <f t="shared" si="10"/>
        <v/>
      </c>
      <c r="X41" s="83"/>
      <c r="Y41" s="73">
        <f t="shared" si="11"/>
        <v>0</v>
      </c>
      <c r="Z41" s="72">
        <f t="shared" si="12"/>
        <v>0</v>
      </c>
      <c r="AA41" s="72">
        <f t="shared" si="13"/>
        <v>0</v>
      </c>
    </row>
    <row r="42" spans="1:27" x14ac:dyDescent="0.25">
      <c r="A42" s="74"/>
      <c r="B42" s="74"/>
      <c r="C42" s="75"/>
      <c r="D42" s="75"/>
      <c r="E42" s="66"/>
      <c r="F42" s="66"/>
      <c r="G42" s="76"/>
      <c r="H42" s="77"/>
      <c r="I42" s="78"/>
      <c r="J42" s="66"/>
      <c r="K42" s="79"/>
      <c r="L42" s="80"/>
      <c r="M42" s="71" t="str">
        <f t="shared" si="7"/>
        <v/>
      </c>
      <c r="N42" s="67"/>
      <c r="O42" s="68"/>
      <c r="P42" s="69"/>
      <c r="Q42" s="71" t="str">
        <f t="shared" si="8"/>
        <v/>
      </c>
      <c r="R42" s="67"/>
      <c r="S42" s="68"/>
      <c r="T42" s="69"/>
      <c r="U42" s="70" t="str">
        <f t="shared" si="9"/>
        <v/>
      </c>
      <c r="V42" s="66"/>
      <c r="W42" s="72" t="str">
        <f t="shared" si="10"/>
        <v/>
      </c>
      <c r="X42" s="83"/>
      <c r="Y42" s="73">
        <f t="shared" si="11"/>
        <v>0</v>
      </c>
      <c r="Z42" s="72">
        <f t="shared" si="12"/>
        <v>0</v>
      </c>
      <c r="AA42" s="72">
        <f t="shared" si="13"/>
        <v>0</v>
      </c>
    </row>
    <row r="43" spans="1:27" x14ac:dyDescent="0.25">
      <c r="A43" s="74"/>
      <c r="B43" s="74"/>
      <c r="C43" s="75"/>
      <c r="D43" s="75"/>
      <c r="E43" s="66"/>
      <c r="F43" s="66"/>
      <c r="G43" s="76"/>
      <c r="H43" s="77"/>
      <c r="I43" s="78"/>
      <c r="J43" s="66"/>
      <c r="K43" s="79"/>
      <c r="L43" s="80"/>
      <c r="M43" s="71" t="str">
        <f t="shared" si="7"/>
        <v/>
      </c>
      <c r="N43" s="67"/>
      <c r="O43" s="68"/>
      <c r="P43" s="69"/>
      <c r="Q43" s="71" t="str">
        <f t="shared" si="8"/>
        <v/>
      </c>
      <c r="R43" s="67"/>
      <c r="S43" s="68"/>
      <c r="T43" s="69"/>
      <c r="U43" s="70" t="str">
        <f t="shared" si="9"/>
        <v/>
      </c>
      <c r="V43" s="66"/>
      <c r="W43" s="72" t="str">
        <f t="shared" si="10"/>
        <v/>
      </c>
      <c r="X43" s="83"/>
      <c r="Y43" s="73">
        <f t="shared" si="11"/>
        <v>0</v>
      </c>
      <c r="Z43" s="72">
        <f t="shared" si="12"/>
        <v>0</v>
      </c>
      <c r="AA43" s="72">
        <f t="shared" si="13"/>
        <v>0</v>
      </c>
    </row>
    <row r="44" spans="1:27" x14ac:dyDescent="0.25">
      <c r="A44" s="74"/>
      <c r="B44" s="74"/>
      <c r="C44" s="75"/>
      <c r="D44" s="75"/>
      <c r="E44" s="66"/>
      <c r="F44" s="66"/>
      <c r="G44" s="76"/>
      <c r="H44" s="77"/>
      <c r="I44" s="78"/>
      <c r="J44" s="66"/>
      <c r="K44" s="79"/>
      <c r="L44" s="80"/>
      <c r="M44" s="71" t="str">
        <f t="shared" si="7"/>
        <v/>
      </c>
      <c r="N44" s="67"/>
      <c r="O44" s="68"/>
      <c r="P44" s="69"/>
      <c r="Q44" s="71" t="str">
        <f t="shared" si="8"/>
        <v/>
      </c>
      <c r="R44" s="67"/>
      <c r="S44" s="68"/>
      <c r="T44" s="69"/>
      <c r="U44" s="70" t="str">
        <f t="shared" si="9"/>
        <v/>
      </c>
      <c r="V44" s="66"/>
      <c r="W44" s="72" t="str">
        <f t="shared" si="10"/>
        <v/>
      </c>
      <c r="X44" s="83"/>
      <c r="Y44" s="73">
        <f t="shared" si="11"/>
        <v>0</v>
      </c>
      <c r="Z44" s="72">
        <f t="shared" si="12"/>
        <v>0</v>
      </c>
      <c r="AA44" s="72">
        <f t="shared" si="13"/>
        <v>0</v>
      </c>
    </row>
    <row r="45" spans="1:27" x14ac:dyDescent="0.25">
      <c r="A45" s="74"/>
      <c r="B45" s="74"/>
      <c r="C45" s="75"/>
      <c r="D45" s="75"/>
      <c r="E45" s="66"/>
      <c r="F45" s="66"/>
      <c r="G45" s="76"/>
      <c r="H45" s="77"/>
      <c r="I45" s="78"/>
      <c r="J45" s="66"/>
      <c r="K45" s="79"/>
      <c r="L45" s="80"/>
      <c r="M45" s="71" t="str">
        <f t="shared" si="7"/>
        <v/>
      </c>
      <c r="N45" s="67"/>
      <c r="O45" s="68"/>
      <c r="P45" s="69"/>
      <c r="Q45" s="71" t="str">
        <f t="shared" si="8"/>
        <v/>
      </c>
      <c r="R45" s="67"/>
      <c r="S45" s="68"/>
      <c r="T45" s="69"/>
      <c r="U45" s="70" t="str">
        <f t="shared" si="9"/>
        <v/>
      </c>
      <c r="V45" s="66"/>
      <c r="W45" s="72" t="str">
        <f t="shared" si="10"/>
        <v/>
      </c>
      <c r="X45" s="83"/>
      <c r="Y45" s="73">
        <f t="shared" si="11"/>
        <v>0</v>
      </c>
      <c r="Z45" s="72">
        <f t="shared" si="12"/>
        <v>0</v>
      </c>
      <c r="AA45" s="72">
        <f t="shared" si="13"/>
        <v>0</v>
      </c>
    </row>
    <row r="46" spans="1:27" x14ac:dyDescent="0.25">
      <c r="A46" s="74"/>
      <c r="B46" s="74"/>
      <c r="C46" s="75"/>
      <c r="D46" s="75"/>
      <c r="E46" s="66"/>
      <c r="F46" s="66"/>
      <c r="G46" s="76"/>
      <c r="H46" s="77"/>
      <c r="I46" s="78"/>
      <c r="J46" s="66"/>
      <c r="K46" s="79"/>
      <c r="L46" s="80"/>
      <c r="M46" s="71" t="str">
        <f t="shared" si="7"/>
        <v/>
      </c>
      <c r="N46" s="67"/>
      <c r="O46" s="68"/>
      <c r="P46" s="69"/>
      <c r="Q46" s="71" t="str">
        <f t="shared" si="8"/>
        <v/>
      </c>
      <c r="R46" s="67"/>
      <c r="S46" s="68"/>
      <c r="T46" s="69"/>
      <c r="U46" s="70" t="str">
        <f t="shared" si="9"/>
        <v/>
      </c>
      <c r="V46" s="66"/>
      <c r="W46" s="72" t="str">
        <f t="shared" si="10"/>
        <v/>
      </c>
      <c r="X46" s="83"/>
      <c r="Y46" s="73">
        <f t="shared" si="11"/>
        <v>0</v>
      </c>
      <c r="Z46" s="72">
        <f t="shared" si="12"/>
        <v>0</v>
      </c>
      <c r="AA46" s="72">
        <f t="shared" si="13"/>
        <v>0</v>
      </c>
    </row>
    <row r="47" spans="1:27" x14ac:dyDescent="0.25">
      <c r="A47" s="74"/>
      <c r="B47" s="74"/>
      <c r="C47" s="75"/>
      <c r="D47" s="75"/>
      <c r="E47" s="66"/>
      <c r="F47" s="66"/>
      <c r="G47" s="76"/>
      <c r="H47" s="77"/>
      <c r="I47" s="78"/>
      <c r="J47" s="66"/>
      <c r="K47" s="79"/>
      <c r="L47" s="80"/>
      <c r="M47" s="71" t="str">
        <f t="shared" si="7"/>
        <v/>
      </c>
      <c r="N47" s="67"/>
      <c r="O47" s="68"/>
      <c r="P47" s="69"/>
      <c r="Q47" s="71" t="str">
        <f t="shared" si="8"/>
        <v/>
      </c>
      <c r="R47" s="67"/>
      <c r="S47" s="68"/>
      <c r="T47" s="69"/>
      <c r="U47" s="70" t="str">
        <f t="shared" si="9"/>
        <v/>
      </c>
      <c r="V47" s="66"/>
      <c r="W47" s="72" t="str">
        <f t="shared" si="10"/>
        <v/>
      </c>
      <c r="X47" s="83"/>
      <c r="Y47" s="73">
        <f t="shared" si="11"/>
        <v>0</v>
      </c>
      <c r="Z47" s="72">
        <f t="shared" si="12"/>
        <v>0</v>
      </c>
      <c r="AA47" s="72">
        <f t="shared" si="13"/>
        <v>0</v>
      </c>
    </row>
    <row r="48" spans="1:27" x14ac:dyDescent="0.25">
      <c r="A48" s="74"/>
      <c r="B48" s="74"/>
      <c r="C48" s="75"/>
      <c r="D48" s="75"/>
      <c r="E48" s="66"/>
      <c r="F48" s="66"/>
      <c r="G48" s="76"/>
      <c r="H48" s="77"/>
      <c r="I48" s="78"/>
      <c r="J48" s="66"/>
      <c r="K48" s="79"/>
      <c r="L48" s="80"/>
      <c r="M48" s="71" t="str">
        <f t="shared" si="7"/>
        <v/>
      </c>
      <c r="N48" s="67"/>
      <c r="O48" s="68"/>
      <c r="P48" s="69"/>
      <c r="Q48" s="71" t="str">
        <f t="shared" si="8"/>
        <v/>
      </c>
      <c r="R48" s="67"/>
      <c r="S48" s="68"/>
      <c r="T48" s="69"/>
      <c r="U48" s="70" t="str">
        <f t="shared" si="9"/>
        <v/>
      </c>
      <c r="V48" s="66"/>
      <c r="W48" s="72" t="str">
        <f t="shared" si="10"/>
        <v/>
      </c>
      <c r="X48" s="83"/>
      <c r="Y48" s="73">
        <f t="shared" si="11"/>
        <v>0</v>
      </c>
      <c r="Z48" s="72">
        <f t="shared" si="12"/>
        <v>0</v>
      </c>
      <c r="AA48" s="72">
        <f t="shared" si="13"/>
        <v>0</v>
      </c>
    </row>
    <row r="49" spans="1:27" x14ac:dyDescent="0.25">
      <c r="A49" s="74"/>
      <c r="B49" s="74"/>
      <c r="C49" s="75"/>
      <c r="D49" s="75"/>
      <c r="E49" s="66"/>
      <c r="F49" s="66"/>
      <c r="G49" s="76"/>
      <c r="H49" s="77"/>
      <c r="I49" s="78"/>
      <c r="J49" s="66"/>
      <c r="K49" s="79"/>
      <c r="L49" s="80"/>
      <c r="M49" s="71" t="str">
        <f t="shared" si="7"/>
        <v/>
      </c>
      <c r="N49" s="67"/>
      <c r="O49" s="68"/>
      <c r="P49" s="69"/>
      <c r="Q49" s="71" t="str">
        <f t="shared" si="8"/>
        <v/>
      </c>
      <c r="R49" s="67"/>
      <c r="S49" s="68"/>
      <c r="T49" s="69"/>
      <c r="U49" s="70" t="str">
        <f t="shared" si="9"/>
        <v/>
      </c>
      <c r="V49" s="66"/>
      <c r="W49" s="72" t="str">
        <f t="shared" si="10"/>
        <v/>
      </c>
      <c r="X49" s="83"/>
      <c r="Y49" s="73">
        <f t="shared" si="11"/>
        <v>0</v>
      </c>
      <c r="Z49" s="72">
        <f t="shared" si="12"/>
        <v>0</v>
      </c>
      <c r="AA49" s="72">
        <f t="shared" si="13"/>
        <v>0</v>
      </c>
    </row>
    <row r="50" spans="1:27" x14ac:dyDescent="0.25">
      <c r="A50" s="74"/>
      <c r="B50" s="74"/>
      <c r="C50" s="75"/>
      <c r="D50" s="75"/>
      <c r="E50" s="66"/>
      <c r="F50" s="66"/>
      <c r="G50" s="76"/>
      <c r="H50" s="77"/>
      <c r="I50" s="78"/>
      <c r="J50" s="66"/>
      <c r="K50" s="79"/>
      <c r="L50" s="80"/>
      <c r="M50" s="71" t="str">
        <f t="shared" si="7"/>
        <v/>
      </c>
      <c r="N50" s="67"/>
      <c r="O50" s="68"/>
      <c r="P50" s="69"/>
      <c r="Q50" s="71" t="str">
        <f t="shared" si="8"/>
        <v/>
      </c>
      <c r="R50" s="67"/>
      <c r="S50" s="68"/>
      <c r="T50" s="69"/>
      <c r="U50" s="70" t="str">
        <f t="shared" si="9"/>
        <v/>
      </c>
      <c r="V50" s="66"/>
      <c r="W50" s="72" t="str">
        <f t="shared" si="10"/>
        <v/>
      </c>
      <c r="X50" s="83"/>
      <c r="Y50" s="73">
        <f t="shared" si="11"/>
        <v>0</v>
      </c>
      <c r="Z50" s="72">
        <f t="shared" si="12"/>
        <v>0</v>
      </c>
      <c r="AA50" s="72">
        <f t="shared" si="13"/>
        <v>0</v>
      </c>
    </row>
    <row r="51" spans="1:27" x14ac:dyDescent="0.25">
      <c r="A51" s="74"/>
      <c r="B51" s="74"/>
      <c r="C51" s="75"/>
      <c r="D51" s="75"/>
      <c r="E51" s="66"/>
      <c r="F51" s="66"/>
      <c r="G51" s="76"/>
      <c r="H51" s="77"/>
      <c r="I51" s="78"/>
      <c r="J51" s="66"/>
      <c r="K51" s="79"/>
      <c r="L51" s="80"/>
      <c r="M51" s="71" t="str">
        <f t="shared" si="7"/>
        <v/>
      </c>
      <c r="N51" s="67"/>
      <c r="O51" s="68"/>
      <c r="P51" s="69"/>
      <c r="Q51" s="71" t="str">
        <f t="shared" si="8"/>
        <v/>
      </c>
      <c r="R51" s="67"/>
      <c r="S51" s="68"/>
      <c r="T51" s="69"/>
      <c r="U51" s="70" t="str">
        <f t="shared" si="9"/>
        <v/>
      </c>
      <c r="V51" s="66"/>
      <c r="W51" s="72" t="str">
        <f t="shared" si="10"/>
        <v/>
      </c>
      <c r="X51" s="83"/>
      <c r="Y51" s="73">
        <f t="shared" si="11"/>
        <v>0</v>
      </c>
      <c r="Z51" s="72">
        <f t="shared" si="12"/>
        <v>0</v>
      </c>
      <c r="AA51" s="72">
        <f t="shared" si="13"/>
        <v>0</v>
      </c>
    </row>
    <row r="52" spans="1:27" x14ac:dyDescent="0.25">
      <c r="A52" s="74"/>
      <c r="B52" s="74"/>
      <c r="C52" s="75"/>
      <c r="D52" s="75"/>
      <c r="E52" s="66"/>
      <c r="F52" s="66"/>
      <c r="G52" s="76"/>
      <c r="H52" s="77"/>
      <c r="I52" s="78"/>
      <c r="J52" s="66"/>
      <c r="K52" s="79"/>
      <c r="L52" s="80"/>
      <c r="M52" s="71" t="str">
        <f t="shared" si="7"/>
        <v/>
      </c>
      <c r="N52" s="67"/>
      <c r="O52" s="68"/>
      <c r="P52" s="69"/>
      <c r="Q52" s="71" t="str">
        <f t="shared" si="8"/>
        <v/>
      </c>
      <c r="R52" s="67"/>
      <c r="S52" s="68"/>
      <c r="T52" s="69"/>
      <c r="U52" s="70" t="str">
        <f t="shared" si="9"/>
        <v/>
      </c>
      <c r="V52" s="66"/>
      <c r="W52" s="72" t="str">
        <f t="shared" si="10"/>
        <v/>
      </c>
      <c r="X52" s="83"/>
      <c r="Y52" s="73">
        <f t="shared" si="11"/>
        <v>0</v>
      </c>
      <c r="Z52" s="72">
        <f t="shared" si="12"/>
        <v>0</v>
      </c>
      <c r="AA52" s="72">
        <f t="shared" si="13"/>
        <v>0</v>
      </c>
    </row>
    <row r="53" spans="1:27" x14ac:dyDescent="0.25">
      <c r="A53" s="74"/>
      <c r="B53" s="74"/>
      <c r="C53" s="75"/>
      <c r="D53" s="75"/>
      <c r="E53" s="66"/>
      <c r="F53" s="66"/>
      <c r="G53" s="76"/>
      <c r="H53" s="77"/>
      <c r="I53" s="78"/>
      <c r="J53" s="66"/>
      <c r="K53" s="79"/>
      <c r="L53" s="80"/>
      <c r="M53" s="71" t="str">
        <f t="shared" si="7"/>
        <v/>
      </c>
      <c r="N53" s="67"/>
      <c r="O53" s="68"/>
      <c r="P53" s="69"/>
      <c r="Q53" s="71" t="str">
        <f t="shared" si="8"/>
        <v/>
      </c>
      <c r="R53" s="67"/>
      <c r="S53" s="68"/>
      <c r="T53" s="69"/>
      <c r="U53" s="70" t="str">
        <f t="shared" si="9"/>
        <v/>
      </c>
      <c r="V53" s="66"/>
      <c r="W53" s="72" t="str">
        <f t="shared" si="10"/>
        <v/>
      </c>
      <c r="X53" s="83"/>
      <c r="Y53" s="73">
        <f t="shared" si="11"/>
        <v>0</v>
      </c>
      <c r="Z53" s="72">
        <f t="shared" si="12"/>
        <v>0</v>
      </c>
      <c r="AA53" s="72">
        <f t="shared" si="13"/>
        <v>0</v>
      </c>
    </row>
    <row r="54" spans="1:27" x14ac:dyDescent="0.25">
      <c r="A54" s="74"/>
      <c r="B54" s="74"/>
      <c r="C54" s="75"/>
      <c r="D54" s="75"/>
      <c r="E54" s="66"/>
      <c r="F54" s="66"/>
      <c r="G54" s="76"/>
      <c r="H54" s="77"/>
      <c r="I54" s="78"/>
      <c r="J54" s="66"/>
      <c r="K54" s="79"/>
      <c r="L54" s="80"/>
      <c r="M54" s="71" t="str">
        <f t="shared" si="7"/>
        <v/>
      </c>
      <c r="N54" s="67"/>
      <c r="O54" s="68"/>
      <c r="P54" s="69"/>
      <c r="Q54" s="71" t="str">
        <f t="shared" si="8"/>
        <v/>
      </c>
      <c r="R54" s="67"/>
      <c r="S54" s="68"/>
      <c r="T54" s="69"/>
      <c r="U54" s="70" t="str">
        <f t="shared" si="9"/>
        <v/>
      </c>
      <c r="V54" s="66"/>
      <c r="W54" s="72" t="str">
        <f t="shared" si="10"/>
        <v/>
      </c>
      <c r="X54" s="83"/>
      <c r="Y54" s="73">
        <f t="shared" si="11"/>
        <v>0</v>
      </c>
      <c r="Z54" s="72">
        <f t="shared" si="12"/>
        <v>0</v>
      </c>
      <c r="AA54" s="72">
        <f t="shared" si="13"/>
        <v>0</v>
      </c>
    </row>
    <row r="55" spans="1:27" x14ac:dyDescent="0.25">
      <c r="A55" s="74"/>
      <c r="B55" s="74"/>
      <c r="C55" s="75"/>
      <c r="D55" s="75"/>
      <c r="E55" s="66"/>
      <c r="F55" s="66"/>
      <c r="G55" s="76"/>
      <c r="H55" s="77"/>
      <c r="I55" s="78"/>
      <c r="J55" s="66"/>
      <c r="K55" s="79"/>
      <c r="L55" s="80"/>
      <c r="M55" s="71" t="str">
        <f t="shared" si="7"/>
        <v/>
      </c>
      <c r="N55" s="67"/>
      <c r="O55" s="68"/>
      <c r="P55" s="69"/>
      <c r="Q55" s="71" t="str">
        <f t="shared" si="8"/>
        <v/>
      </c>
      <c r="R55" s="67"/>
      <c r="S55" s="68"/>
      <c r="T55" s="69"/>
      <c r="U55" s="70" t="str">
        <f t="shared" si="9"/>
        <v/>
      </c>
      <c r="V55" s="66"/>
      <c r="W55" s="72" t="str">
        <f t="shared" si="10"/>
        <v/>
      </c>
      <c r="X55" s="83"/>
      <c r="Y55" s="73">
        <f t="shared" si="11"/>
        <v>0</v>
      </c>
      <c r="Z55" s="72">
        <f t="shared" si="12"/>
        <v>0</v>
      </c>
      <c r="AA55" s="72">
        <f t="shared" si="13"/>
        <v>0</v>
      </c>
    </row>
    <row r="56" spans="1:27" x14ac:dyDescent="0.25">
      <c r="A56" s="74"/>
      <c r="B56" s="74"/>
      <c r="C56" s="75"/>
      <c r="D56" s="75"/>
      <c r="E56" s="66"/>
      <c r="F56" s="66"/>
      <c r="G56" s="76"/>
      <c r="H56" s="77"/>
      <c r="I56" s="78"/>
      <c r="J56" s="66"/>
      <c r="K56" s="79"/>
      <c r="L56" s="80"/>
      <c r="M56" s="71" t="str">
        <f t="shared" si="7"/>
        <v/>
      </c>
      <c r="N56" s="67"/>
      <c r="O56" s="68"/>
      <c r="P56" s="69"/>
      <c r="Q56" s="71" t="str">
        <f t="shared" si="8"/>
        <v/>
      </c>
      <c r="R56" s="67"/>
      <c r="S56" s="68"/>
      <c r="T56" s="69"/>
      <c r="U56" s="70" t="str">
        <f t="shared" si="9"/>
        <v/>
      </c>
      <c r="V56" s="66"/>
      <c r="W56" s="72" t="str">
        <f t="shared" si="10"/>
        <v/>
      </c>
      <c r="X56" s="83"/>
      <c r="Y56" s="73">
        <f t="shared" si="11"/>
        <v>0</v>
      </c>
      <c r="Z56" s="72">
        <f t="shared" si="12"/>
        <v>0</v>
      </c>
      <c r="AA56" s="72">
        <f t="shared" si="13"/>
        <v>0</v>
      </c>
    </row>
    <row r="57" spans="1:27" x14ac:dyDescent="0.25">
      <c r="A57" s="74"/>
      <c r="B57" s="74"/>
      <c r="C57" s="75"/>
      <c r="D57" s="75"/>
      <c r="E57" s="66"/>
      <c r="F57" s="66"/>
      <c r="G57" s="76"/>
      <c r="H57" s="77"/>
      <c r="I57" s="78"/>
      <c r="J57" s="66"/>
      <c r="K57" s="79"/>
      <c r="L57" s="80"/>
      <c r="M57" s="71" t="str">
        <f t="shared" si="7"/>
        <v/>
      </c>
      <c r="N57" s="67"/>
      <c r="O57" s="68"/>
      <c r="P57" s="69"/>
      <c r="Q57" s="71" t="str">
        <f t="shared" si="8"/>
        <v/>
      </c>
      <c r="R57" s="67"/>
      <c r="S57" s="68"/>
      <c r="T57" s="69"/>
      <c r="U57" s="70" t="str">
        <f t="shared" si="9"/>
        <v/>
      </c>
      <c r="V57" s="66"/>
      <c r="W57" s="72" t="str">
        <f t="shared" si="10"/>
        <v/>
      </c>
      <c r="X57" s="83"/>
      <c r="Y57" s="73">
        <f t="shared" si="11"/>
        <v>0</v>
      </c>
      <c r="Z57" s="72">
        <f t="shared" si="12"/>
        <v>0</v>
      </c>
      <c r="AA57" s="72">
        <f t="shared" si="13"/>
        <v>0</v>
      </c>
    </row>
    <row r="58" spans="1:27" x14ac:dyDescent="0.25">
      <c r="A58" s="74"/>
      <c r="B58" s="74"/>
      <c r="C58" s="75"/>
      <c r="D58" s="75"/>
      <c r="E58" s="66"/>
      <c r="F58" s="66"/>
      <c r="G58" s="76"/>
      <c r="H58" s="77"/>
      <c r="I58" s="78"/>
      <c r="J58" s="66"/>
      <c r="K58" s="79"/>
      <c r="L58" s="80"/>
      <c r="M58" s="71" t="str">
        <f t="shared" si="7"/>
        <v/>
      </c>
      <c r="N58" s="67"/>
      <c r="O58" s="68"/>
      <c r="P58" s="69"/>
      <c r="Q58" s="71" t="str">
        <f t="shared" si="8"/>
        <v/>
      </c>
      <c r="R58" s="67"/>
      <c r="S58" s="68"/>
      <c r="T58" s="69"/>
      <c r="U58" s="70" t="str">
        <f t="shared" si="9"/>
        <v/>
      </c>
      <c r="V58" s="66"/>
      <c r="W58" s="72" t="str">
        <f t="shared" si="10"/>
        <v/>
      </c>
      <c r="X58" s="83"/>
      <c r="Y58" s="73">
        <f t="shared" si="11"/>
        <v>0</v>
      </c>
      <c r="Z58" s="72">
        <f t="shared" si="12"/>
        <v>0</v>
      </c>
      <c r="AA58" s="72">
        <f t="shared" si="13"/>
        <v>0</v>
      </c>
    </row>
    <row r="59" spans="1:27" x14ac:dyDescent="0.25">
      <c r="A59" s="74"/>
      <c r="B59" s="74"/>
      <c r="C59" s="75"/>
      <c r="D59" s="75"/>
      <c r="E59" s="66"/>
      <c r="F59" s="66"/>
      <c r="G59" s="76"/>
      <c r="H59" s="77"/>
      <c r="I59" s="78"/>
      <c r="J59" s="66"/>
      <c r="K59" s="79"/>
      <c r="L59" s="80"/>
      <c r="M59" s="71" t="str">
        <f t="shared" si="7"/>
        <v/>
      </c>
      <c r="N59" s="67"/>
      <c r="O59" s="68"/>
      <c r="P59" s="69"/>
      <c r="Q59" s="71" t="str">
        <f t="shared" si="8"/>
        <v/>
      </c>
      <c r="R59" s="67"/>
      <c r="S59" s="68"/>
      <c r="T59" s="69"/>
      <c r="U59" s="70" t="str">
        <f t="shared" si="9"/>
        <v/>
      </c>
      <c r="V59" s="66"/>
      <c r="W59" s="72" t="str">
        <f t="shared" si="10"/>
        <v/>
      </c>
      <c r="X59" s="83"/>
      <c r="Y59" s="73">
        <f t="shared" si="11"/>
        <v>0</v>
      </c>
      <c r="Z59" s="72">
        <f t="shared" si="12"/>
        <v>0</v>
      </c>
      <c r="AA59" s="72">
        <f t="shared" si="13"/>
        <v>0</v>
      </c>
    </row>
    <row r="60" spans="1:27" x14ac:dyDescent="0.25">
      <c r="A60" s="74"/>
      <c r="B60" s="74"/>
      <c r="C60" s="75"/>
      <c r="D60" s="75"/>
      <c r="E60" s="66"/>
      <c r="F60" s="66"/>
      <c r="G60" s="76"/>
      <c r="H60" s="77"/>
      <c r="I60" s="78"/>
      <c r="J60" s="66"/>
      <c r="K60" s="79"/>
      <c r="L60" s="80"/>
      <c r="M60" s="71" t="str">
        <f t="shared" si="7"/>
        <v/>
      </c>
      <c r="N60" s="67"/>
      <c r="O60" s="68"/>
      <c r="P60" s="69"/>
      <c r="Q60" s="71" t="str">
        <f t="shared" si="8"/>
        <v/>
      </c>
      <c r="R60" s="67"/>
      <c r="S60" s="68"/>
      <c r="T60" s="69"/>
      <c r="U60" s="70" t="str">
        <f t="shared" si="9"/>
        <v/>
      </c>
      <c r="V60" s="66"/>
      <c r="W60" s="72" t="str">
        <f t="shared" si="10"/>
        <v/>
      </c>
      <c r="X60" s="83"/>
      <c r="Y60" s="73">
        <f t="shared" si="11"/>
        <v>0</v>
      </c>
      <c r="Z60" s="72">
        <f t="shared" si="12"/>
        <v>0</v>
      </c>
      <c r="AA60" s="72">
        <f t="shared" si="13"/>
        <v>0</v>
      </c>
    </row>
    <row r="61" spans="1:27" x14ac:dyDescent="0.25">
      <c r="A61" s="74"/>
      <c r="B61" s="74"/>
      <c r="C61" s="75"/>
      <c r="D61" s="75"/>
      <c r="E61" s="66"/>
      <c r="F61" s="66"/>
      <c r="G61" s="76"/>
      <c r="H61" s="77"/>
      <c r="I61" s="78"/>
      <c r="J61" s="66"/>
      <c r="K61" s="79"/>
      <c r="L61" s="80"/>
      <c r="M61" s="71" t="str">
        <f t="shared" si="7"/>
        <v/>
      </c>
      <c r="N61" s="67"/>
      <c r="O61" s="68"/>
      <c r="P61" s="69"/>
      <c r="Q61" s="71" t="str">
        <f t="shared" si="8"/>
        <v/>
      </c>
      <c r="R61" s="67"/>
      <c r="S61" s="68"/>
      <c r="T61" s="69"/>
      <c r="U61" s="70" t="str">
        <f t="shared" si="9"/>
        <v/>
      </c>
      <c r="V61" s="66"/>
      <c r="W61" s="72" t="str">
        <f t="shared" si="10"/>
        <v/>
      </c>
      <c r="X61" s="83"/>
      <c r="Y61" s="73">
        <f t="shared" si="11"/>
        <v>0</v>
      </c>
      <c r="Z61" s="72">
        <f t="shared" si="12"/>
        <v>0</v>
      </c>
      <c r="AA61" s="72">
        <f t="shared" si="13"/>
        <v>0</v>
      </c>
    </row>
    <row r="62" spans="1:27" x14ac:dyDescent="0.25">
      <c r="A62" s="74"/>
      <c r="B62" s="74"/>
      <c r="C62" s="75"/>
      <c r="D62" s="75"/>
      <c r="E62" s="66"/>
      <c r="F62" s="66"/>
      <c r="G62" s="76"/>
      <c r="H62" s="77"/>
      <c r="I62" s="78"/>
      <c r="J62" s="66"/>
      <c r="K62" s="79"/>
      <c r="L62" s="80"/>
      <c r="M62" s="71" t="str">
        <f t="shared" si="7"/>
        <v/>
      </c>
      <c r="N62" s="67"/>
      <c r="O62" s="68"/>
      <c r="P62" s="69"/>
      <c r="Q62" s="71" t="str">
        <f t="shared" si="8"/>
        <v/>
      </c>
      <c r="R62" s="67"/>
      <c r="S62" s="68"/>
      <c r="T62" s="69"/>
      <c r="U62" s="70" t="str">
        <f t="shared" si="9"/>
        <v/>
      </c>
      <c r="V62" s="66"/>
      <c r="W62" s="72" t="str">
        <f t="shared" si="10"/>
        <v/>
      </c>
      <c r="X62" s="83"/>
      <c r="Y62" s="73">
        <f t="shared" si="11"/>
        <v>0</v>
      </c>
      <c r="Z62" s="72">
        <f t="shared" si="12"/>
        <v>0</v>
      </c>
      <c r="AA62" s="72">
        <f t="shared" si="13"/>
        <v>0</v>
      </c>
    </row>
    <row r="63" spans="1:27" x14ac:dyDescent="0.25">
      <c r="A63" s="74"/>
      <c r="B63" s="74"/>
      <c r="C63" s="75"/>
      <c r="D63" s="75"/>
      <c r="E63" s="66"/>
      <c r="F63" s="66"/>
      <c r="G63" s="76"/>
      <c r="H63" s="77"/>
      <c r="I63" s="78"/>
      <c r="J63" s="66"/>
      <c r="K63" s="79"/>
      <c r="L63" s="80"/>
      <c r="M63" s="71" t="str">
        <f t="shared" si="7"/>
        <v/>
      </c>
      <c r="N63" s="67"/>
      <c r="O63" s="68"/>
      <c r="P63" s="69"/>
      <c r="Q63" s="71" t="str">
        <f t="shared" si="8"/>
        <v/>
      </c>
      <c r="R63" s="67"/>
      <c r="S63" s="68"/>
      <c r="T63" s="69"/>
      <c r="U63" s="70" t="str">
        <f t="shared" si="9"/>
        <v/>
      </c>
      <c r="V63" s="66"/>
      <c r="W63" s="72" t="str">
        <f t="shared" si="10"/>
        <v/>
      </c>
      <c r="X63" s="83"/>
      <c r="Y63" s="73">
        <f t="shared" si="11"/>
        <v>0</v>
      </c>
      <c r="Z63" s="72">
        <f t="shared" si="12"/>
        <v>0</v>
      </c>
      <c r="AA63" s="72">
        <f t="shared" si="13"/>
        <v>0</v>
      </c>
    </row>
    <row r="64" spans="1:27" x14ac:dyDescent="0.25">
      <c r="A64" s="74"/>
      <c r="B64" s="74"/>
      <c r="C64" s="75"/>
      <c r="D64" s="75"/>
      <c r="E64" s="66"/>
      <c r="F64" s="66"/>
      <c r="G64" s="76"/>
      <c r="H64" s="77"/>
      <c r="I64" s="78"/>
      <c r="J64" s="66"/>
      <c r="K64" s="79"/>
      <c r="L64" s="80"/>
      <c r="M64" s="71" t="str">
        <f t="shared" si="7"/>
        <v/>
      </c>
      <c r="N64" s="67"/>
      <c r="O64" s="68"/>
      <c r="P64" s="69"/>
      <c r="Q64" s="71" t="str">
        <f t="shared" si="8"/>
        <v/>
      </c>
      <c r="R64" s="67"/>
      <c r="S64" s="68"/>
      <c r="T64" s="69"/>
      <c r="U64" s="70" t="str">
        <f t="shared" si="9"/>
        <v/>
      </c>
      <c r="V64" s="66"/>
      <c r="W64" s="72" t="str">
        <f t="shared" si="10"/>
        <v/>
      </c>
      <c r="X64" s="83"/>
      <c r="Y64" s="73">
        <f t="shared" si="11"/>
        <v>0</v>
      </c>
      <c r="Z64" s="72">
        <f t="shared" si="12"/>
        <v>0</v>
      </c>
      <c r="AA64" s="72">
        <f t="shared" si="13"/>
        <v>0</v>
      </c>
    </row>
    <row r="65" spans="1:27" x14ac:dyDescent="0.25">
      <c r="A65" s="74"/>
      <c r="B65" s="74"/>
      <c r="C65" s="75"/>
      <c r="D65" s="75"/>
      <c r="E65" s="66"/>
      <c r="F65" s="66"/>
      <c r="G65" s="76"/>
      <c r="H65" s="77"/>
      <c r="I65" s="78"/>
      <c r="J65" s="66"/>
      <c r="K65" s="79"/>
      <c r="L65" s="80"/>
      <c r="M65" s="71" t="str">
        <f t="shared" si="7"/>
        <v/>
      </c>
      <c r="N65" s="67"/>
      <c r="O65" s="68"/>
      <c r="P65" s="69"/>
      <c r="Q65" s="71" t="str">
        <f t="shared" si="8"/>
        <v/>
      </c>
      <c r="R65" s="67"/>
      <c r="S65" s="68"/>
      <c r="T65" s="69"/>
      <c r="U65" s="70" t="str">
        <f t="shared" si="9"/>
        <v/>
      </c>
      <c r="V65" s="66"/>
      <c r="W65" s="72" t="str">
        <f t="shared" si="10"/>
        <v/>
      </c>
      <c r="X65" s="83"/>
      <c r="Y65" s="73">
        <f t="shared" si="11"/>
        <v>0</v>
      </c>
      <c r="Z65" s="72">
        <f t="shared" si="12"/>
        <v>0</v>
      </c>
      <c r="AA65" s="72">
        <f t="shared" si="13"/>
        <v>0</v>
      </c>
    </row>
    <row r="66" spans="1:27" x14ac:dyDescent="0.25">
      <c r="A66" s="74"/>
      <c r="B66" s="74"/>
      <c r="C66" s="75"/>
      <c r="D66" s="75"/>
      <c r="E66" s="66"/>
      <c r="F66" s="66"/>
      <c r="G66" s="76"/>
      <c r="H66" s="77"/>
      <c r="I66" s="78"/>
      <c r="J66" s="66"/>
      <c r="K66" s="79"/>
      <c r="L66" s="80"/>
      <c r="M66" s="71" t="str">
        <f t="shared" ref="M66:M97" si="14">IF(L66="","",L66-G66)</f>
        <v/>
      </c>
      <c r="N66" s="67"/>
      <c r="O66" s="68"/>
      <c r="P66" s="69"/>
      <c r="Q66" s="71" t="str">
        <f t="shared" ref="Q66:Q97" si="15">IF(P66="",M66,P66-G66)</f>
        <v/>
      </c>
      <c r="R66" s="67"/>
      <c r="S66" s="68"/>
      <c r="T66" s="69"/>
      <c r="U66" s="70" t="str">
        <f t="shared" ref="U66:U97" si="16">IF(P66="",M66,IF(AND(P66="",T66=""),M66,IF(T66="",Q66,T66-G66)))</f>
        <v/>
      </c>
      <c r="V66" s="66"/>
      <c r="W66" s="72" t="str">
        <f t="shared" ref="W66:W97" si="17">IF(A66="","",SUM(Y66:AA66)-V66)</f>
        <v/>
      </c>
      <c r="X66" s="83"/>
      <c r="Y66" s="73">
        <f t="shared" ref="Y66:Y101" si="18">IF(D66="Long",((J66-H66)*K66),((H66-J66)*K66))*100</f>
        <v>0</v>
      </c>
      <c r="Z66" s="72">
        <f t="shared" ref="Z66:Z101" si="19">IF(D66="Long",((N66-H66)*O66),((H66-N66)*O66))*100</f>
        <v>0</v>
      </c>
      <c r="AA66" s="72">
        <f t="shared" si="13"/>
        <v>0</v>
      </c>
    </row>
    <row r="67" spans="1:27" x14ac:dyDescent="0.25">
      <c r="A67" s="74"/>
      <c r="B67" s="74"/>
      <c r="C67" s="75"/>
      <c r="D67" s="75"/>
      <c r="E67" s="66"/>
      <c r="F67" s="66"/>
      <c r="G67" s="76"/>
      <c r="H67" s="77"/>
      <c r="I67" s="78"/>
      <c r="J67" s="66"/>
      <c r="K67" s="79"/>
      <c r="L67" s="80"/>
      <c r="M67" s="71" t="str">
        <f t="shared" si="14"/>
        <v/>
      </c>
      <c r="N67" s="67"/>
      <c r="O67" s="68"/>
      <c r="P67" s="69"/>
      <c r="Q67" s="71" t="str">
        <f t="shared" si="15"/>
        <v/>
      </c>
      <c r="R67" s="67"/>
      <c r="S67" s="68"/>
      <c r="T67" s="69"/>
      <c r="U67" s="70" t="str">
        <f t="shared" si="16"/>
        <v/>
      </c>
      <c r="V67" s="66"/>
      <c r="W67" s="72" t="str">
        <f t="shared" si="17"/>
        <v/>
      </c>
      <c r="X67" s="83"/>
      <c r="Y67" s="73">
        <f t="shared" si="18"/>
        <v>0</v>
      </c>
      <c r="Z67" s="72">
        <f t="shared" si="19"/>
        <v>0</v>
      </c>
      <c r="AA67" s="72">
        <f t="shared" ref="AA67:AA101" si="20">IF(D67="Long",((R67-H67)*S67),((H67-R67)*S67))*100</f>
        <v>0</v>
      </c>
    </row>
    <row r="68" spans="1:27" x14ac:dyDescent="0.25">
      <c r="A68" s="74"/>
      <c r="B68" s="74"/>
      <c r="C68" s="75"/>
      <c r="D68" s="75"/>
      <c r="E68" s="66"/>
      <c r="F68" s="66"/>
      <c r="G68" s="76"/>
      <c r="H68" s="77"/>
      <c r="I68" s="78"/>
      <c r="J68" s="66"/>
      <c r="K68" s="79"/>
      <c r="L68" s="80"/>
      <c r="M68" s="71" t="str">
        <f t="shared" si="14"/>
        <v/>
      </c>
      <c r="N68" s="67"/>
      <c r="O68" s="68"/>
      <c r="P68" s="69"/>
      <c r="Q68" s="71" t="str">
        <f t="shared" si="15"/>
        <v/>
      </c>
      <c r="R68" s="67"/>
      <c r="S68" s="68"/>
      <c r="T68" s="69"/>
      <c r="U68" s="70" t="str">
        <f t="shared" si="16"/>
        <v/>
      </c>
      <c r="V68" s="66"/>
      <c r="W68" s="72" t="str">
        <f t="shared" si="17"/>
        <v/>
      </c>
      <c r="X68" s="83"/>
      <c r="Y68" s="73">
        <f t="shared" si="18"/>
        <v>0</v>
      </c>
      <c r="Z68" s="72">
        <f t="shared" si="19"/>
        <v>0</v>
      </c>
      <c r="AA68" s="72">
        <f t="shared" si="20"/>
        <v>0</v>
      </c>
    </row>
    <row r="69" spans="1:27" x14ac:dyDescent="0.25">
      <c r="A69" s="74"/>
      <c r="B69" s="74"/>
      <c r="C69" s="75"/>
      <c r="D69" s="75"/>
      <c r="E69" s="66"/>
      <c r="F69" s="66"/>
      <c r="G69" s="76"/>
      <c r="H69" s="77"/>
      <c r="I69" s="78"/>
      <c r="J69" s="66"/>
      <c r="K69" s="79"/>
      <c r="L69" s="80"/>
      <c r="M69" s="71" t="str">
        <f t="shared" si="14"/>
        <v/>
      </c>
      <c r="N69" s="67"/>
      <c r="O69" s="68"/>
      <c r="P69" s="69"/>
      <c r="Q69" s="71" t="str">
        <f t="shared" si="15"/>
        <v/>
      </c>
      <c r="R69" s="67"/>
      <c r="S69" s="68"/>
      <c r="T69" s="69"/>
      <c r="U69" s="70" t="str">
        <f t="shared" si="16"/>
        <v/>
      </c>
      <c r="V69" s="66"/>
      <c r="W69" s="72" t="str">
        <f t="shared" si="17"/>
        <v/>
      </c>
      <c r="X69" s="83"/>
      <c r="Y69" s="73">
        <f t="shared" si="18"/>
        <v>0</v>
      </c>
      <c r="Z69" s="72">
        <f t="shared" si="19"/>
        <v>0</v>
      </c>
      <c r="AA69" s="72">
        <f t="shared" si="20"/>
        <v>0</v>
      </c>
    </row>
    <row r="70" spans="1:27" x14ac:dyDescent="0.25">
      <c r="A70" s="74"/>
      <c r="B70" s="74"/>
      <c r="C70" s="75"/>
      <c r="D70" s="75"/>
      <c r="E70" s="66"/>
      <c r="F70" s="66"/>
      <c r="G70" s="76"/>
      <c r="H70" s="77"/>
      <c r="I70" s="78"/>
      <c r="J70" s="66"/>
      <c r="K70" s="79"/>
      <c r="L70" s="80"/>
      <c r="M70" s="71" t="str">
        <f t="shared" si="14"/>
        <v/>
      </c>
      <c r="N70" s="67"/>
      <c r="O70" s="68"/>
      <c r="P70" s="69"/>
      <c r="Q70" s="71" t="str">
        <f t="shared" si="15"/>
        <v/>
      </c>
      <c r="R70" s="67"/>
      <c r="S70" s="68"/>
      <c r="T70" s="69"/>
      <c r="U70" s="70" t="str">
        <f t="shared" si="16"/>
        <v/>
      </c>
      <c r="V70" s="66"/>
      <c r="W70" s="72" t="str">
        <f t="shared" si="17"/>
        <v/>
      </c>
      <c r="X70" s="83"/>
      <c r="Y70" s="73">
        <f t="shared" si="18"/>
        <v>0</v>
      </c>
      <c r="Z70" s="72">
        <f t="shared" si="19"/>
        <v>0</v>
      </c>
      <c r="AA70" s="72">
        <f t="shared" si="20"/>
        <v>0</v>
      </c>
    </row>
    <row r="71" spans="1:27" x14ac:dyDescent="0.25">
      <c r="A71" s="74"/>
      <c r="B71" s="74"/>
      <c r="C71" s="75"/>
      <c r="D71" s="75"/>
      <c r="E71" s="66"/>
      <c r="F71" s="66"/>
      <c r="G71" s="76"/>
      <c r="H71" s="77"/>
      <c r="I71" s="78"/>
      <c r="J71" s="66"/>
      <c r="K71" s="79"/>
      <c r="L71" s="80"/>
      <c r="M71" s="71" t="str">
        <f t="shared" si="14"/>
        <v/>
      </c>
      <c r="N71" s="67"/>
      <c r="O71" s="68"/>
      <c r="P71" s="69"/>
      <c r="Q71" s="71" t="str">
        <f t="shared" si="15"/>
        <v/>
      </c>
      <c r="R71" s="67"/>
      <c r="S71" s="68"/>
      <c r="T71" s="69"/>
      <c r="U71" s="70" t="str">
        <f t="shared" si="16"/>
        <v/>
      </c>
      <c r="V71" s="66"/>
      <c r="W71" s="72" t="str">
        <f t="shared" si="17"/>
        <v/>
      </c>
      <c r="X71" s="83"/>
      <c r="Y71" s="73">
        <f t="shared" si="18"/>
        <v>0</v>
      </c>
      <c r="Z71" s="72">
        <f t="shared" si="19"/>
        <v>0</v>
      </c>
      <c r="AA71" s="72">
        <f t="shared" si="20"/>
        <v>0</v>
      </c>
    </row>
    <row r="72" spans="1:27" x14ac:dyDescent="0.25">
      <c r="A72" s="74"/>
      <c r="B72" s="74"/>
      <c r="C72" s="75"/>
      <c r="D72" s="75"/>
      <c r="E72" s="66"/>
      <c r="F72" s="66"/>
      <c r="G72" s="76"/>
      <c r="H72" s="77"/>
      <c r="I72" s="78"/>
      <c r="J72" s="66"/>
      <c r="K72" s="79"/>
      <c r="L72" s="80"/>
      <c r="M72" s="71" t="str">
        <f t="shared" si="14"/>
        <v/>
      </c>
      <c r="N72" s="67"/>
      <c r="O72" s="68"/>
      <c r="P72" s="69"/>
      <c r="Q72" s="71" t="str">
        <f t="shared" si="15"/>
        <v/>
      </c>
      <c r="R72" s="67"/>
      <c r="S72" s="68"/>
      <c r="T72" s="69"/>
      <c r="U72" s="70" t="str">
        <f t="shared" si="16"/>
        <v/>
      </c>
      <c r="V72" s="66"/>
      <c r="W72" s="72" t="str">
        <f t="shared" si="17"/>
        <v/>
      </c>
      <c r="X72" s="83"/>
      <c r="Y72" s="73">
        <f t="shared" si="18"/>
        <v>0</v>
      </c>
      <c r="Z72" s="72">
        <f t="shared" si="19"/>
        <v>0</v>
      </c>
      <c r="AA72" s="72">
        <f t="shared" si="20"/>
        <v>0</v>
      </c>
    </row>
    <row r="73" spans="1:27" x14ac:dyDescent="0.25">
      <c r="A73" s="74"/>
      <c r="B73" s="74"/>
      <c r="C73" s="75"/>
      <c r="D73" s="75"/>
      <c r="E73" s="66"/>
      <c r="F73" s="66"/>
      <c r="G73" s="76"/>
      <c r="H73" s="77"/>
      <c r="I73" s="78"/>
      <c r="J73" s="66"/>
      <c r="K73" s="79"/>
      <c r="L73" s="80"/>
      <c r="M73" s="71" t="str">
        <f t="shared" si="14"/>
        <v/>
      </c>
      <c r="N73" s="67"/>
      <c r="O73" s="68"/>
      <c r="P73" s="69"/>
      <c r="Q73" s="71" t="str">
        <f t="shared" si="15"/>
        <v/>
      </c>
      <c r="R73" s="67"/>
      <c r="S73" s="68"/>
      <c r="T73" s="69"/>
      <c r="U73" s="70" t="str">
        <f t="shared" si="16"/>
        <v/>
      </c>
      <c r="V73" s="66"/>
      <c r="W73" s="72" t="str">
        <f t="shared" si="17"/>
        <v/>
      </c>
      <c r="X73" s="83"/>
      <c r="Y73" s="73">
        <f t="shared" si="18"/>
        <v>0</v>
      </c>
      <c r="Z73" s="72">
        <f t="shared" si="19"/>
        <v>0</v>
      </c>
      <c r="AA73" s="72">
        <f t="shared" si="20"/>
        <v>0</v>
      </c>
    </row>
    <row r="74" spans="1:27" x14ac:dyDescent="0.25">
      <c r="A74" s="74"/>
      <c r="B74" s="74"/>
      <c r="C74" s="75"/>
      <c r="D74" s="75"/>
      <c r="E74" s="66"/>
      <c r="F74" s="66"/>
      <c r="G74" s="76"/>
      <c r="H74" s="77"/>
      <c r="I74" s="78"/>
      <c r="J74" s="66"/>
      <c r="K74" s="79"/>
      <c r="L74" s="80"/>
      <c r="M74" s="71" t="str">
        <f t="shared" si="14"/>
        <v/>
      </c>
      <c r="N74" s="67"/>
      <c r="O74" s="68"/>
      <c r="P74" s="69"/>
      <c r="Q74" s="71" t="str">
        <f t="shared" si="15"/>
        <v/>
      </c>
      <c r="R74" s="67"/>
      <c r="S74" s="68"/>
      <c r="T74" s="69"/>
      <c r="U74" s="70" t="str">
        <f t="shared" si="16"/>
        <v/>
      </c>
      <c r="V74" s="66"/>
      <c r="W74" s="72" t="str">
        <f t="shared" si="17"/>
        <v/>
      </c>
      <c r="X74" s="83"/>
      <c r="Y74" s="73">
        <f t="shared" si="18"/>
        <v>0</v>
      </c>
      <c r="Z74" s="72">
        <f t="shared" si="19"/>
        <v>0</v>
      </c>
      <c r="AA74" s="72">
        <f t="shared" si="20"/>
        <v>0</v>
      </c>
    </row>
    <row r="75" spans="1:27" x14ac:dyDescent="0.25">
      <c r="A75" s="74"/>
      <c r="B75" s="74"/>
      <c r="C75" s="75"/>
      <c r="D75" s="75"/>
      <c r="E75" s="66"/>
      <c r="F75" s="66"/>
      <c r="G75" s="76"/>
      <c r="H75" s="77"/>
      <c r="I75" s="78"/>
      <c r="J75" s="66"/>
      <c r="K75" s="79"/>
      <c r="L75" s="80"/>
      <c r="M75" s="71" t="str">
        <f t="shared" si="14"/>
        <v/>
      </c>
      <c r="N75" s="67"/>
      <c r="O75" s="68"/>
      <c r="P75" s="69"/>
      <c r="Q75" s="71" t="str">
        <f t="shared" si="15"/>
        <v/>
      </c>
      <c r="R75" s="67"/>
      <c r="S75" s="68"/>
      <c r="T75" s="69"/>
      <c r="U75" s="70" t="str">
        <f t="shared" si="16"/>
        <v/>
      </c>
      <c r="V75" s="66"/>
      <c r="W75" s="72" t="str">
        <f t="shared" si="17"/>
        <v/>
      </c>
      <c r="X75" s="83"/>
      <c r="Y75" s="73">
        <f t="shared" si="18"/>
        <v>0</v>
      </c>
      <c r="Z75" s="72">
        <f t="shared" si="19"/>
        <v>0</v>
      </c>
      <c r="AA75" s="72">
        <f t="shared" si="20"/>
        <v>0</v>
      </c>
    </row>
    <row r="76" spans="1:27" x14ac:dyDescent="0.25">
      <c r="A76" s="74"/>
      <c r="B76" s="74"/>
      <c r="C76" s="75"/>
      <c r="D76" s="75"/>
      <c r="E76" s="66"/>
      <c r="F76" s="66"/>
      <c r="G76" s="76"/>
      <c r="H76" s="77"/>
      <c r="I76" s="78"/>
      <c r="J76" s="66"/>
      <c r="K76" s="79"/>
      <c r="L76" s="80"/>
      <c r="M76" s="71" t="str">
        <f t="shared" si="14"/>
        <v/>
      </c>
      <c r="N76" s="67"/>
      <c r="O76" s="68"/>
      <c r="P76" s="69"/>
      <c r="Q76" s="71" t="str">
        <f t="shared" si="15"/>
        <v/>
      </c>
      <c r="R76" s="67"/>
      <c r="S76" s="68"/>
      <c r="T76" s="69"/>
      <c r="U76" s="70" t="str">
        <f t="shared" si="16"/>
        <v/>
      </c>
      <c r="V76" s="66"/>
      <c r="W76" s="72" t="str">
        <f t="shared" si="17"/>
        <v/>
      </c>
      <c r="X76" s="83"/>
      <c r="Y76" s="73">
        <f t="shared" si="18"/>
        <v>0</v>
      </c>
      <c r="Z76" s="72">
        <f t="shared" si="19"/>
        <v>0</v>
      </c>
      <c r="AA76" s="72">
        <f t="shared" si="20"/>
        <v>0</v>
      </c>
    </row>
    <row r="77" spans="1:27" x14ac:dyDescent="0.25">
      <c r="A77" s="74"/>
      <c r="B77" s="74"/>
      <c r="C77" s="75"/>
      <c r="D77" s="75"/>
      <c r="E77" s="66"/>
      <c r="F77" s="66"/>
      <c r="G77" s="76"/>
      <c r="H77" s="77"/>
      <c r="I77" s="78"/>
      <c r="J77" s="66"/>
      <c r="K77" s="79"/>
      <c r="L77" s="80"/>
      <c r="M77" s="71" t="str">
        <f t="shared" si="14"/>
        <v/>
      </c>
      <c r="N77" s="67"/>
      <c r="O77" s="68"/>
      <c r="P77" s="69"/>
      <c r="Q77" s="71" t="str">
        <f t="shared" si="15"/>
        <v/>
      </c>
      <c r="R77" s="67"/>
      <c r="S77" s="68"/>
      <c r="T77" s="69"/>
      <c r="U77" s="70" t="str">
        <f t="shared" si="16"/>
        <v/>
      </c>
      <c r="V77" s="66"/>
      <c r="W77" s="72" t="str">
        <f t="shared" si="17"/>
        <v/>
      </c>
      <c r="X77" s="83"/>
      <c r="Y77" s="73">
        <f t="shared" si="18"/>
        <v>0</v>
      </c>
      <c r="Z77" s="72">
        <f t="shared" si="19"/>
        <v>0</v>
      </c>
      <c r="AA77" s="72">
        <f t="shared" si="20"/>
        <v>0</v>
      </c>
    </row>
    <row r="78" spans="1:27" x14ac:dyDescent="0.25">
      <c r="A78" s="74"/>
      <c r="B78" s="74"/>
      <c r="C78" s="75"/>
      <c r="D78" s="75"/>
      <c r="E78" s="66"/>
      <c r="F78" s="66"/>
      <c r="G78" s="76"/>
      <c r="H78" s="77"/>
      <c r="I78" s="78"/>
      <c r="J78" s="66"/>
      <c r="K78" s="79"/>
      <c r="L78" s="80"/>
      <c r="M78" s="71" t="str">
        <f t="shared" si="14"/>
        <v/>
      </c>
      <c r="N78" s="67"/>
      <c r="O78" s="68"/>
      <c r="P78" s="69"/>
      <c r="Q78" s="71" t="str">
        <f t="shared" si="15"/>
        <v/>
      </c>
      <c r="R78" s="67"/>
      <c r="S78" s="68"/>
      <c r="T78" s="69"/>
      <c r="U78" s="70" t="str">
        <f t="shared" si="16"/>
        <v/>
      </c>
      <c r="V78" s="66"/>
      <c r="W78" s="72" t="str">
        <f t="shared" si="17"/>
        <v/>
      </c>
      <c r="X78" s="83"/>
      <c r="Y78" s="73">
        <f t="shared" si="18"/>
        <v>0</v>
      </c>
      <c r="Z78" s="72">
        <f t="shared" si="19"/>
        <v>0</v>
      </c>
      <c r="AA78" s="72">
        <f t="shared" si="20"/>
        <v>0</v>
      </c>
    </row>
    <row r="79" spans="1:27" x14ac:dyDescent="0.25">
      <c r="A79" s="74"/>
      <c r="B79" s="74"/>
      <c r="C79" s="75"/>
      <c r="D79" s="75"/>
      <c r="E79" s="66"/>
      <c r="F79" s="66"/>
      <c r="G79" s="76"/>
      <c r="H79" s="77"/>
      <c r="I79" s="78"/>
      <c r="J79" s="66"/>
      <c r="K79" s="79"/>
      <c r="L79" s="80"/>
      <c r="M79" s="71" t="str">
        <f t="shared" si="14"/>
        <v/>
      </c>
      <c r="N79" s="67"/>
      <c r="O79" s="68"/>
      <c r="P79" s="69"/>
      <c r="Q79" s="71" t="str">
        <f t="shared" si="15"/>
        <v/>
      </c>
      <c r="R79" s="67"/>
      <c r="S79" s="68"/>
      <c r="T79" s="69"/>
      <c r="U79" s="70" t="str">
        <f t="shared" si="16"/>
        <v/>
      </c>
      <c r="V79" s="66"/>
      <c r="W79" s="72" t="str">
        <f t="shared" si="17"/>
        <v/>
      </c>
      <c r="X79" s="83"/>
      <c r="Y79" s="73">
        <f t="shared" si="18"/>
        <v>0</v>
      </c>
      <c r="Z79" s="72">
        <f t="shared" si="19"/>
        <v>0</v>
      </c>
      <c r="AA79" s="72">
        <f t="shared" si="20"/>
        <v>0</v>
      </c>
    </row>
    <row r="80" spans="1:27" x14ac:dyDescent="0.25">
      <c r="A80" s="74"/>
      <c r="B80" s="74"/>
      <c r="C80" s="75"/>
      <c r="D80" s="75"/>
      <c r="E80" s="66"/>
      <c r="F80" s="66"/>
      <c r="G80" s="76"/>
      <c r="H80" s="77"/>
      <c r="I80" s="78"/>
      <c r="J80" s="66"/>
      <c r="K80" s="79"/>
      <c r="L80" s="80"/>
      <c r="M80" s="71" t="str">
        <f t="shared" si="14"/>
        <v/>
      </c>
      <c r="N80" s="67"/>
      <c r="O80" s="68"/>
      <c r="P80" s="69"/>
      <c r="Q80" s="71" t="str">
        <f t="shared" si="15"/>
        <v/>
      </c>
      <c r="R80" s="67"/>
      <c r="S80" s="68"/>
      <c r="T80" s="69"/>
      <c r="U80" s="70" t="str">
        <f t="shared" si="16"/>
        <v/>
      </c>
      <c r="V80" s="66"/>
      <c r="W80" s="72" t="str">
        <f t="shared" si="17"/>
        <v/>
      </c>
      <c r="X80" s="83"/>
      <c r="Y80" s="73">
        <f t="shared" si="18"/>
        <v>0</v>
      </c>
      <c r="Z80" s="72">
        <f t="shared" si="19"/>
        <v>0</v>
      </c>
      <c r="AA80" s="72">
        <f t="shared" si="20"/>
        <v>0</v>
      </c>
    </row>
    <row r="81" spans="1:27" x14ac:dyDescent="0.25">
      <c r="A81" s="74"/>
      <c r="B81" s="74"/>
      <c r="C81" s="75"/>
      <c r="D81" s="75"/>
      <c r="E81" s="66"/>
      <c r="F81" s="66"/>
      <c r="G81" s="76"/>
      <c r="H81" s="77"/>
      <c r="I81" s="78"/>
      <c r="J81" s="66"/>
      <c r="K81" s="79"/>
      <c r="L81" s="80"/>
      <c r="M81" s="71" t="str">
        <f t="shared" si="14"/>
        <v/>
      </c>
      <c r="N81" s="67"/>
      <c r="O81" s="68"/>
      <c r="P81" s="69"/>
      <c r="Q81" s="71" t="str">
        <f t="shared" si="15"/>
        <v/>
      </c>
      <c r="R81" s="67"/>
      <c r="S81" s="68"/>
      <c r="T81" s="69"/>
      <c r="U81" s="70" t="str">
        <f t="shared" si="16"/>
        <v/>
      </c>
      <c r="V81" s="66"/>
      <c r="W81" s="72" t="str">
        <f t="shared" si="17"/>
        <v/>
      </c>
      <c r="X81" s="83"/>
      <c r="Y81" s="73">
        <f t="shared" si="18"/>
        <v>0</v>
      </c>
      <c r="Z81" s="72">
        <f t="shared" si="19"/>
        <v>0</v>
      </c>
      <c r="AA81" s="72">
        <f t="shared" si="20"/>
        <v>0</v>
      </c>
    </row>
    <row r="82" spans="1:27" x14ac:dyDescent="0.25">
      <c r="A82" s="74"/>
      <c r="B82" s="74"/>
      <c r="C82" s="75"/>
      <c r="D82" s="75"/>
      <c r="E82" s="66"/>
      <c r="F82" s="66"/>
      <c r="G82" s="76"/>
      <c r="H82" s="77"/>
      <c r="I82" s="78"/>
      <c r="J82" s="66"/>
      <c r="K82" s="79"/>
      <c r="L82" s="80"/>
      <c r="M82" s="71" t="str">
        <f t="shared" si="14"/>
        <v/>
      </c>
      <c r="N82" s="67"/>
      <c r="O82" s="68"/>
      <c r="P82" s="69"/>
      <c r="Q82" s="71" t="str">
        <f t="shared" si="15"/>
        <v/>
      </c>
      <c r="R82" s="67"/>
      <c r="S82" s="68"/>
      <c r="T82" s="69"/>
      <c r="U82" s="70" t="str">
        <f t="shared" si="16"/>
        <v/>
      </c>
      <c r="V82" s="66"/>
      <c r="W82" s="72" t="str">
        <f t="shared" si="17"/>
        <v/>
      </c>
      <c r="X82" s="83"/>
      <c r="Y82" s="73">
        <f t="shared" si="18"/>
        <v>0</v>
      </c>
      <c r="Z82" s="72">
        <f t="shared" si="19"/>
        <v>0</v>
      </c>
      <c r="AA82" s="72">
        <f t="shared" si="20"/>
        <v>0</v>
      </c>
    </row>
    <row r="83" spans="1:27" x14ac:dyDescent="0.25">
      <c r="A83" s="74"/>
      <c r="B83" s="74"/>
      <c r="C83" s="75"/>
      <c r="D83" s="75"/>
      <c r="E83" s="66"/>
      <c r="F83" s="66"/>
      <c r="G83" s="76"/>
      <c r="H83" s="77"/>
      <c r="I83" s="78"/>
      <c r="J83" s="66"/>
      <c r="K83" s="79"/>
      <c r="L83" s="80"/>
      <c r="M83" s="71" t="str">
        <f t="shared" si="14"/>
        <v/>
      </c>
      <c r="N83" s="67"/>
      <c r="O83" s="68"/>
      <c r="P83" s="69"/>
      <c r="Q83" s="71" t="str">
        <f t="shared" si="15"/>
        <v/>
      </c>
      <c r="R83" s="67"/>
      <c r="S83" s="68"/>
      <c r="T83" s="69"/>
      <c r="U83" s="70" t="str">
        <f t="shared" si="16"/>
        <v/>
      </c>
      <c r="V83" s="66"/>
      <c r="W83" s="72" t="str">
        <f t="shared" si="17"/>
        <v/>
      </c>
      <c r="X83" s="83"/>
      <c r="Y83" s="73">
        <f t="shared" si="18"/>
        <v>0</v>
      </c>
      <c r="Z83" s="72">
        <f t="shared" si="19"/>
        <v>0</v>
      </c>
      <c r="AA83" s="72">
        <f t="shared" si="20"/>
        <v>0</v>
      </c>
    </row>
    <row r="84" spans="1:27" x14ac:dyDescent="0.25">
      <c r="A84" s="74"/>
      <c r="B84" s="74"/>
      <c r="C84" s="75"/>
      <c r="D84" s="75"/>
      <c r="E84" s="66"/>
      <c r="F84" s="66"/>
      <c r="G84" s="76"/>
      <c r="H84" s="77"/>
      <c r="I84" s="78"/>
      <c r="J84" s="66"/>
      <c r="K84" s="79"/>
      <c r="L84" s="80"/>
      <c r="M84" s="71" t="str">
        <f t="shared" si="14"/>
        <v/>
      </c>
      <c r="N84" s="67"/>
      <c r="O84" s="68"/>
      <c r="P84" s="69"/>
      <c r="Q84" s="71" t="str">
        <f t="shared" si="15"/>
        <v/>
      </c>
      <c r="R84" s="67"/>
      <c r="S84" s="68"/>
      <c r="T84" s="69"/>
      <c r="U84" s="70" t="str">
        <f t="shared" si="16"/>
        <v/>
      </c>
      <c r="V84" s="66"/>
      <c r="W84" s="72" t="str">
        <f t="shared" si="17"/>
        <v/>
      </c>
      <c r="X84" s="83"/>
      <c r="Y84" s="73">
        <f t="shared" si="18"/>
        <v>0</v>
      </c>
      <c r="Z84" s="72">
        <f t="shared" si="19"/>
        <v>0</v>
      </c>
      <c r="AA84" s="72">
        <f t="shared" si="20"/>
        <v>0</v>
      </c>
    </row>
    <row r="85" spans="1:27" x14ac:dyDescent="0.25">
      <c r="A85" s="74"/>
      <c r="B85" s="74"/>
      <c r="C85" s="75"/>
      <c r="D85" s="75"/>
      <c r="E85" s="66"/>
      <c r="F85" s="66"/>
      <c r="G85" s="76"/>
      <c r="H85" s="77"/>
      <c r="I85" s="78"/>
      <c r="J85" s="66"/>
      <c r="K85" s="79"/>
      <c r="L85" s="80"/>
      <c r="M85" s="71" t="str">
        <f t="shared" si="14"/>
        <v/>
      </c>
      <c r="N85" s="67"/>
      <c r="O85" s="68"/>
      <c r="P85" s="69"/>
      <c r="Q85" s="71" t="str">
        <f t="shared" si="15"/>
        <v/>
      </c>
      <c r="R85" s="67"/>
      <c r="S85" s="68"/>
      <c r="T85" s="69"/>
      <c r="U85" s="70" t="str">
        <f t="shared" si="16"/>
        <v/>
      </c>
      <c r="V85" s="66"/>
      <c r="W85" s="72" t="str">
        <f t="shared" si="17"/>
        <v/>
      </c>
      <c r="X85" s="83"/>
      <c r="Y85" s="73">
        <f t="shared" si="18"/>
        <v>0</v>
      </c>
      <c r="Z85" s="72">
        <f t="shared" si="19"/>
        <v>0</v>
      </c>
      <c r="AA85" s="72">
        <f t="shared" si="20"/>
        <v>0</v>
      </c>
    </row>
    <row r="86" spans="1:27" x14ac:dyDescent="0.25">
      <c r="A86" s="74"/>
      <c r="B86" s="74"/>
      <c r="C86" s="75"/>
      <c r="D86" s="75"/>
      <c r="E86" s="66"/>
      <c r="F86" s="66"/>
      <c r="G86" s="76"/>
      <c r="H86" s="77"/>
      <c r="I86" s="78"/>
      <c r="J86" s="66"/>
      <c r="K86" s="79"/>
      <c r="L86" s="80"/>
      <c r="M86" s="71" t="str">
        <f t="shared" si="14"/>
        <v/>
      </c>
      <c r="N86" s="67"/>
      <c r="O86" s="68"/>
      <c r="P86" s="69"/>
      <c r="Q86" s="71" t="str">
        <f t="shared" si="15"/>
        <v/>
      </c>
      <c r="R86" s="67"/>
      <c r="S86" s="68"/>
      <c r="T86" s="69"/>
      <c r="U86" s="70" t="str">
        <f t="shared" si="16"/>
        <v/>
      </c>
      <c r="V86" s="66"/>
      <c r="W86" s="72" t="str">
        <f t="shared" si="17"/>
        <v/>
      </c>
      <c r="X86" s="83"/>
      <c r="Y86" s="73">
        <f t="shared" si="18"/>
        <v>0</v>
      </c>
      <c r="Z86" s="72">
        <f t="shared" si="19"/>
        <v>0</v>
      </c>
      <c r="AA86" s="72">
        <f t="shared" si="20"/>
        <v>0</v>
      </c>
    </row>
    <row r="87" spans="1:27" x14ac:dyDescent="0.25">
      <c r="A87" s="74"/>
      <c r="B87" s="74"/>
      <c r="C87" s="75"/>
      <c r="D87" s="75"/>
      <c r="E87" s="66"/>
      <c r="F87" s="66"/>
      <c r="G87" s="76"/>
      <c r="H87" s="77"/>
      <c r="I87" s="78"/>
      <c r="J87" s="66"/>
      <c r="K87" s="79"/>
      <c r="L87" s="80"/>
      <c r="M87" s="71" t="str">
        <f t="shared" si="14"/>
        <v/>
      </c>
      <c r="N87" s="67"/>
      <c r="O87" s="68"/>
      <c r="P87" s="69"/>
      <c r="Q87" s="71" t="str">
        <f t="shared" si="15"/>
        <v/>
      </c>
      <c r="R87" s="67"/>
      <c r="S87" s="68"/>
      <c r="T87" s="69"/>
      <c r="U87" s="70" t="str">
        <f t="shared" si="16"/>
        <v/>
      </c>
      <c r="V87" s="66"/>
      <c r="W87" s="72" t="str">
        <f t="shared" si="17"/>
        <v/>
      </c>
      <c r="X87" s="83"/>
      <c r="Y87" s="73">
        <f t="shared" si="18"/>
        <v>0</v>
      </c>
      <c r="Z87" s="72">
        <f t="shared" si="19"/>
        <v>0</v>
      </c>
      <c r="AA87" s="72">
        <f t="shared" si="20"/>
        <v>0</v>
      </c>
    </row>
    <row r="88" spans="1:27" x14ac:dyDescent="0.25">
      <c r="A88" s="74"/>
      <c r="B88" s="74"/>
      <c r="C88" s="75"/>
      <c r="D88" s="75"/>
      <c r="E88" s="66"/>
      <c r="F88" s="66"/>
      <c r="G88" s="76"/>
      <c r="H88" s="77"/>
      <c r="I88" s="78"/>
      <c r="J88" s="66"/>
      <c r="K88" s="79"/>
      <c r="L88" s="80"/>
      <c r="M88" s="71" t="str">
        <f t="shared" si="14"/>
        <v/>
      </c>
      <c r="N88" s="67"/>
      <c r="O88" s="68"/>
      <c r="P88" s="69"/>
      <c r="Q88" s="71" t="str">
        <f t="shared" si="15"/>
        <v/>
      </c>
      <c r="R88" s="67"/>
      <c r="S88" s="68"/>
      <c r="T88" s="69"/>
      <c r="U88" s="70" t="str">
        <f t="shared" si="16"/>
        <v/>
      </c>
      <c r="V88" s="66"/>
      <c r="W88" s="72" t="str">
        <f t="shared" si="17"/>
        <v/>
      </c>
      <c r="X88" s="83"/>
      <c r="Y88" s="73">
        <f t="shared" si="18"/>
        <v>0</v>
      </c>
      <c r="Z88" s="72">
        <f t="shared" si="19"/>
        <v>0</v>
      </c>
      <c r="AA88" s="72">
        <f t="shared" si="20"/>
        <v>0</v>
      </c>
    </row>
    <row r="89" spans="1:27" x14ac:dyDescent="0.25">
      <c r="A89" s="74"/>
      <c r="B89" s="74"/>
      <c r="C89" s="75"/>
      <c r="D89" s="75"/>
      <c r="E89" s="66"/>
      <c r="F89" s="66"/>
      <c r="G89" s="76"/>
      <c r="H89" s="77"/>
      <c r="I89" s="78"/>
      <c r="J89" s="66"/>
      <c r="K89" s="79"/>
      <c r="L89" s="80"/>
      <c r="M89" s="71" t="str">
        <f t="shared" si="14"/>
        <v/>
      </c>
      <c r="N89" s="67"/>
      <c r="O89" s="68"/>
      <c r="P89" s="69"/>
      <c r="Q89" s="71" t="str">
        <f t="shared" si="15"/>
        <v/>
      </c>
      <c r="R89" s="67"/>
      <c r="S89" s="68"/>
      <c r="T89" s="69"/>
      <c r="U89" s="70" t="str">
        <f t="shared" si="16"/>
        <v/>
      </c>
      <c r="V89" s="66"/>
      <c r="W89" s="72" t="str">
        <f t="shared" si="17"/>
        <v/>
      </c>
      <c r="X89" s="83"/>
      <c r="Y89" s="73">
        <f t="shared" si="18"/>
        <v>0</v>
      </c>
      <c r="Z89" s="72">
        <f t="shared" si="19"/>
        <v>0</v>
      </c>
      <c r="AA89" s="72">
        <f t="shared" si="20"/>
        <v>0</v>
      </c>
    </row>
    <row r="90" spans="1:27" x14ac:dyDescent="0.25">
      <c r="A90" s="74"/>
      <c r="B90" s="74"/>
      <c r="C90" s="75"/>
      <c r="D90" s="75"/>
      <c r="E90" s="66"/>
      <c r="F90" s="66"/>
      <c r="G90" s="76"/>
      <c r="H90" s="77"/>
      <c r="I90" s="78"/>
      <c r="J90" s="66"/>
      <c r="K90" s="79"/>
      <c r="L90" s="80"/>
      <c r="M90" s="71" t="str">
        <f t="shared" si="14"/>
        <v/>
      </c>
      <c r="N90" s="67"/>
      <c r="O90" s="68"/>
      <c r="P90" s="69"/>
      <c r="Q90" s="71" t="str">
        <f t="shared" si="15"/>
        <v/>
      </c>
      <c r="R90" s="67"/>
      <c r="S90" s="68"/>
      <c r="T90" s="69"/>
      <c r="U90" s="70" t="str">
        <f t="shared" si="16"/>
        <v/>
      </c>
      <c r="V90" s="66"/>
      <c r="W90" s="72" t="str">
        <f t="shared" si="17"/>
        <v/>
      </c>
      <c r="X90" s="83"/>
      <c r="Y90" s="73">
        <f t="shared" si="18"/>
        <v>0</v>
      </c>
      <c r="Z90" s="72">
        <f t="shared" si="19"/>
        <v>0</v>
      </c>
      <c r="AA90" s="72">
        <f t="shared" si="20"/>
        <v>0</v>
      </c>
    </row>
    <row r="91" spans="1:27" x14ac:dyDescent="0.25">
      <c r="A91" s="74"/>
      <c r="B91" s="74"/>
      <c r="C91" s="75"/>
      <c r="D91" s="75"/>
      <c r="E91" s="66"/>
      <c r="F91" s="66"/>
      <c r="G91" s="76"/>
      <c r="H91" s="77"/>
      <c r="I91" s="78"/>
      <c r="J91" s="66"/>
      <c r="K91" s="79"/>
      <c r="L91" s="80"/>
      <c r="M91" s="71" t="str">
        <f t="shared" si="14"/>
        <v/>
      </c>
      <c r="N91" s="67"/>
      <c r="O91" s="68"/>
      <c r="P91" s="69"/>
      <c r="Q91" s="71" t="str">
        <f t="shared" si="15"/>
        <v/>
      </c>
      <c r="R91" s="67"/>
      <c r="S91" s="68"/>
      <c r="T91" s="69"/>
      <c r="U91" s="70" t="str">
        <f t="shared" si="16"/>
        <v/>
      </c>
      <c r="V91" s="66"/>
      <c r="W91" s="72" t="str">
        <f t="shared" si="17"/>
        <v/>
      </c>
      <c r="X91" s="83"/>
      <c r="Y91" s="73">
        <f t="shared" si="18"/>
        <v>0</v>
      </c>
      <c r="Z91" s="72">
        <f t="shared" si="19"/>
        <v>0</v>
      </c>
      <c r="AA91" s="72">
        <f t="shared" si="20"/>
        <v>0</v>
      </c>
    </row>
    <row r="92" spans="1:27" x14ac:dyDescent="0.25">
      <c r="A92" s="74"/>
      <c r="B92" s="74"/>
      <c r="C92" s="75"/>
      <c r="D92" s="75"/>
      <c r="E92" s="66"/>
      <c r="F92" s="66"/>
      <c r="G92" s="76"/>
      <c r="H92" s="77"/>
      <c r="I92" s="78"/>
      <c r="J92" s="66"/>
      <c r="K92" s="79"/>
      <c r="L92" s="80"/>
      <c r="M92" s="71" t="str">
        <f t="shared" si="14"/>
        <v/>
      </c>
      <c r="N92" s="67"/>
      <c r="O92" s="68"/>
      <c r="P92" s="69"/>
      <c r="Q92" s="71" t="str">
        <f t="shared" si="15"/>
        <v/>
      </c>
      <c r="R92" s="67"/>
      <c r="S92" s="68"/>
      <c r="T92" s="69"/>
      <c r="U92" s="70" t="str">
        <f t="shared" si="16"/>
        <v/>
      </c>
      <c r="V92" s="66"/>
      <c r="W92" s="72" t="str">
        <f t="shared" si="17"/>
        <v/>
      </c>
      <c r="X92" s="83"/>
      <c r="Y92" s="73">
        <f t="shared" si="18"/>
        <v>0</v>
      </c>
      <c r="Z92" s="72">
        <f t="shared" si="19"/>
        <v>0</v>
      </c>
      <c r="AA92" s="72">
        <f t="shared" si="20"/>
        <v>0</v>
      </c>
    </row>
    <row r="93" spans="1:27" x14ac:dyDescent="0.25">
      <c r="A93" s="74"/>
      <c r="B93" s="74"/>
      <c r="C93" s="75"/>
      <c r="D93" s="75"/>
      <c r="E93" s="66"/>
      <c r="F93" s="66"/>
      <c r="G93" s="76"/>
      <c r="H93" s="77"/>
      <c r="I93" s="78"/>
      <c r="J93" s="66"/>
      <c r="K93" s="79"/>
      <c r="L93" s="80"/>
      <c r="M93" s="71" t="str">
        <f t="shared" si="14"/>
        <v/>
      </c>
      <c r="N93" s="67"/>
      <c r="O93" s="68"/>
      <c r="P93" s="69"/>
      <c r="Q93" s="71" t="str">
        <f t="shared" si="15"/>
        <v/>
      </c>
      <c r="R93" s="67"/>
      <c r="S93" s="68"/>
      <c r="T93" s="69"/>
      <c r="U93" s="70" t="str">
        <f t="shared" si="16"/>
        <v/>
      </c>
      <c r="V93" s="66"/>
      <c r="W93" s="72" t="str">
        <f t="shared" si="17"/>
        <v/>
      </c>
      <c r="X93" s="83"/>
      <c r="Y93" s="73">
        <f t="shared" si="18"/>
        <v>0</v>
      </c>
      <c r="Z93" s="72">
        <f t="shared" si="19"/>
        <v>0</v>
      </c>
      <c r="AA93" s="72">
        <f t="shared" si="20"/>
        <v>0</v>
      </c>
    </row>
    <row r="94" spans="1:27" x14ac:dyDescent="0.25">
      <c r="A94" s="74"/>
      <c r="B94" s="74"/>
      <c r="C94" s="75"/>
      <c r="D94" s="75"/>
      <c r="E94" s="66"/>
      <c r="F94" s="66"/>
      <c r="G94" s="76"/>
      <c r="H94" s="77"/>
      <c r="I94" s="78"/>
      <c r="J94" s="66"/>
      <c r="K94" s="79"/>
      <c r="L94" s="80"/>
      <c r="M94" s="71" t="str">
        <f t="shared" si="14"/>
        <v/>
      </c>
      <c r="N94" s="67"/>
      <c r="O94" s="68"/>
      <c r="P94" s="69"/>
      <c r="Q94" s="71" t="str">
        <f t="shared" si="15"/>
        <v/>
      </c>
      <c r="R94" s="67"/>
      <c r="S94" s="68"/>
      <c r="T94" s="69"/>
      <c r="U94" s="70" t="str">
        <f t="shared" si="16"/>
        <v/>
      </c>
      <c r="V94" s="66"/>
      <c r="W94" s="72" t="str">
        <f t="shared" si="17"/>
        <v/>
      </c>
      <c r="X94" s="83"/>
      <c r="Y94" s="73">
        <f t="shared" si="18"/>
        <v>0</v>
      </c>
      <c r="Z94" s="72">
        <f t="shared" si="19"/>
        <v>0</v>
      </c>
      <c r="AA94" s="72">
        <f t="shared" si="20"/>
        <v>0</v>
      </c>
    </row>
    <row r="95" spans="1:27" x14ac:dyDescent="0.25">
      <c r="A95" s="74"/>
      <c r="B95" s="74"/>
      <c r="C95" s="75"/>
      <c r="D95" s="75"/>
      <c r="E95" s="66"/>
      <c r="F95" s="66"/>
      <c r="G95" s="76"/>
      <c r="H95" s="77"/>
      <c r="I95" s="78"/>
      <c r="J95" s="66"/>
      <c r="K95" s="79"/>
      <c r="L95" s="80"/>
      <c r="M95" s="71" t="str">
        <f t="shared" si="14"/>
        <v/>
      </c>
      <c r="N95" s="67"/>
      <c r="O95" s="68"/>
      <c r="P95" s="69"/>
      <c r="Q95" s="71" t="str">
        <f t="shared" si="15"/>
        <v/>
      </c>
      <c r="R95" s="67"/>
      <c r="S95" s="68"/>
      <c r="T95" s="69"/>
      <c r="U95" s="70" t="str">
        <f t="shared" si="16"/>
        <v/>
      </c>
      <c r="V95" s="66"/>
      <c r="W95" s="72" t="str">
        <f t="shared" si="17"/>
        <v/>
      </c>
      <c r="X95" s="83"/>
      <c r="Y95" s="73">
        <f t="shared" si="18"/>
        <v>0</v>
      </c>
      <c r="Z95" s="72">
        <f t="shared" si="19"/>
        <v>0</v>
      </c>
      <c r="AA95" s="72">
        <f t="shared" si="20"/>
        <v>0</v>
      </c>
    </row>
    <row r="96" spans="1:27" x14ac:dyDescent="0.25">
      <c r="A96" s="74"/>
      <c r="B96" s="74"/>
      <c r="C96" s="75"/>
      <c r="D96" s="75"/>
      <c r="E96" s="66"/>
      <c r="F96" s="66"/>
      <c r="G96" s="76"/>
      <c r="H96" s="77"/>
      <c r="I96" s="78"/>
      <c r="J96" s="66"/>
      <c r="K96" s="79"/>
      <c r="L96" s="80"/>
      <c r="M96" s="71" t="str">
        <f t="shared" si="14"/>
        <v/>
      </c>
      <c r="N96" s="67"/>
      <c r="O96" s="68"/>
      <c r="P96" s="69"/>
      <c r="Q96" s="71" t="str">
        <f t="shared" si="15"/>
        <v/>
      </c>
      <c r="R96" s="67"/>
      <c r="S96" s="68"/>
      <c r="T96" s="69"/>
      <c r="U96" s="70" t="str">
        <f t="shared" si="16"/>
        <v/>
      </c>
      <c r="V96" s="66"/>
      <c r="W96" s="72" t="str">
        <f t="shared" si="17"/>
        <v/>
      </c>
      <c r="X96" s="83"/>
      <c r="Y96" s="73">
        <f t="shared" si="18"/>
        <v>0</v>
      </c>
      <c r="Z96" s="72">
        <f t="shared" si="19"/>
        <v>0</v>
      </c>
      <c r="AA96" s="72">
        <f t="shared" si="20"/>
        <v>0</v>
      </c>
    </row>
    <row r="97" spans="1:27" x14ac:dyDescent="0.25">
      <c r="A97" s="74"/>
      <c r="B97" s="74"/>
      <c r="C97" s="75"/>
      <c r="D97" s="75"/>
      <c r="E97" s="66"/>
      <c r="F97" s="66"/>
      <c r="G97" s="76"/>
      <c r="H97" s="77"/>
      <c r="I97" s="78"/>
      <c r="J97" s="66"/>
      <c r="K97" s="79"/>
      <c r="L97" s="80"/>
      <c r="M97" s="71" t="str">
        <f t="shared" si="14"/>
        <v/>
      </c>
      <c r="N97" s="67"/>
      <c r="O97" s="68"/>
      <c r="P97" s="69"/>
      <c r="Q97" s="71" t="str">
        <f t="shared" si="15"/>
        <v/>
      </c>
      <c r="R97" s="67"/>
      <c r="S97" s="68"/>
      <c r="T97" s="69"/>
      <c r="U97" s="70" t="str">
        <f t="shared" si="16"/>
        <v/>
      </c>
      <c r="V97" s="66"/>
      <c r="W97" s="72" t="str">
        <f t="shared" si="17"/>
        <v/>
      </c>
      <c r="X97" s="83"/>
      <c r="Y97" s="73">
        <f t="shared" si="18"/>
        <v>0</v>
      </c>
      <c r="Z97" s="72">
        <f t="shared" si="19"/>
        <v>0</v>
      </c>
      <c r="AA97" s="72">
        <f t="shared" si="20"/>
        <v>0</v>
      </c>
    </row>
    <row r="98" spans="1:27" x14ac:dyDescent="0.25">
      <c r="A98" s="74"/>
      <c r="B98" s="74"/>
      <c r="C98" s="75"/>
      <c r="D98" s="75"/>
      <c r="E98" s="66"/>
      <c r="F98" s="66"/>
      <c r="G98" s="76"/>
      <c r="H98" s="77"/>
      <c r="I98" s="78"/>
      <c r="J98" s="66"/>
      <c r="K98" s="79"/>
      <c r="L98" s="80"/>
      <c r="M98" s="71" t="str">
        <f t="shared" ref="M98:M101" si="21">IF(L98="","",L98-G98)</f>
        <v/>
      </c>
      <c r="N98" s="67"/>
      <c r="O98" s="68"/>
      <c r="P98" s="69"/>
      <c r="Q98" s="71" t="str">
        <f t="shared" ref="Q98:Q101" si="22">IF(P98="",M98,P98-G98)</f>
        <v/>
      </c>
      <c r="R98" s="67"/>
      <c r="S98" s="68"/>
      <c r="T98" s="69"/>
      <c r="U98" s="70" t="str">
        <f t="shared" ref="U98:U101" si="23">IF(P98="",M98,IF(AND(P98="",T98=""),M98,IF(T98="",Q98,T98-G98)))</f>
        <v/>
      </c>
      <c r="V98" s="66"/>
      <c r="W98" s="72" t="str">
        <f t="shared" ref="W98:W101" si="24">IF(A98="","",SUM(Y98:AA98)-V98)</f>
        <v/>
      </c>
      <c r="X98" s="83"/>
      <c r="Y98" s="73">
        <f t="shared" si="18"/>
        <v>0</v>
      </c>
      <c r="Z98" s="72">
        <f t="shared" si="19"/>
        <v>0</v>
      </c>
      <c r="AA98" s="72">
        <f t="shared" si="20"/>
        <v>0</v>
      </c>
    </row>
    <row r="99" spans="1:27" x14ac:dyDescent="0.25">
      <c r="A99" s="74"/>
      <c r="B99" s="74"/>
      <c r="C99" s="75"/>
      <c r="D99" s="75"/>
      <c r="E99" s="66"/>
      <c r="F99" s="66"/>
      <c r="G99" s="76"/>
      <c r="H99" s="77"/>
      <c r="I99" s="78"/>
      <c r="J99" s="66"/>
      <c r="K99" s="79"/>
      <c r="L99" s="80"/>
      <c r="M99" s="71" t="str">
        <f t="shared" si="21"/>
        <v/>
      </c>
      <c r="N99" s="67"/>
      <c r="O99" s="68"/>
      <c r="P99" s="69"/>
      <c r="Q99" s="71" t="str">
        <f t="shared" si="22"/>
        <v/>
      </c>
      <c r="R99" s="67"/>
      <c r="S99" s="68"/>
      <c r="T99" s="69"/>
      <c r="U99" s="70" t="str">
        <f t="shared" si="23"/>
        <v/>
      </c>
      <c r="V99" s="66"/>
      <c r="W99" s="72" t="str">
        <f t="shared" si="24"/>
        <v/>
      </c>
      <c r="X99" s="83"/>
      <c r="Y99" s="73">
        <f t="shared" si="18"/>
        <v>0</v>
      </c>
      <c r="Z99" s="72">
        <f t="shared" si="19"/>
        <v>0</v>
      </c>
      <c r="AA99" s="72">
        <f t="shared" si="20"/>
        <v>0</v>
      </c>
    </row>
    <row r="100" spans="1:27" x14ac:dyDescent="0.25">
      <c r="A100" s="74"/>
      <c r="B100" s="74"/>
      <c r="C100" s="75"/>
      <c r="D100" s="75"/>
      <c r="E100" s="66"/>
      <c r="F100" s="66"/>
      <c r="G100" s="76"/>
      <c r="H100" s="77"/>
      <c r="I100" s="78"/>
      <c r="J100" s="66"/>
      <c r="K100" s="79"/>
      <c r="L100" s="80"/>
      <c r="M100" s="71" t="str">
        <f t="shared" si="21"/>
        <v/>
      </c>
      <c r="N100" s="67"/>
      <c r="O100" s="68"/>
      <c r="P100" s="69"/>
      <c r="Q100" s="71" t="str">
        <f t="shared" si="22"/>
        <v/>
      </c>
      <c r="R100" s="67"/>
      <c r="S100" s="68"/>
      <c r="T100" s="69"/>
      <c r="U100" s="70" t="str">
        <f t="shared" si="23"/>
        <v/>
      </c>
      <c r="V100" s="66"/>
      <c r="W100" s="72" t="str">
        <f t="shared" si="24"/>
        <v/>
      </c>
      <c r="X100" s="83"/>
      <c r="Y100" s="73">
        <f t="shared" si="18"/>
        <v>0</v>
      </c>
      <c r="Z100" s="72">
        <f t="shared" si="19"/>
        <v>0</v>
      </c>
      <c r="AA100" s="72">
        <f t="shared" si="20"/>
        <v>0</v>
      </c>
    </row>
    <row r="101" spans="1:27" x14ac:dyDescent="0.25">
      <c r="A101" s="74"/>
      <c r="B101" s="74"/>
      <c r="C101" s="75"/>
      <c r="D101" s="75"/>
      <c r="E101" s="66"/>
      <c r="F101" s="66"/>
      <c r="G101" s="76"/>
      <c r="H101" s="77"/>
      <c r="I101" s="78"/>
      <c r="J101" s="66"/>
      <c r="K101" s="79"/>
      <c r="L101" s="80"/>
      <c r="M101" s="71" t="str">
        <f t="shared" si="21"/>
        <v/>
      </c>
      <c r="N101" s="67"/>
      <c r="O101" s="68"/>
      <c r="P101" s="69"/>
      <c r="Q101" s="71" t="str">
        <f t="shared" si="22"/>
        <v/>
      </c>
      <c r="R101" s="67"/>
      <c r="S101" s="68"/>
      <c r="T101" s="69"/>
      <c r="U101" s="70" t="str">
        <f t="shared" si="23"/>
        <v/>
      </c>
      <c r="V101" s="66"/>
      <c r="W101" s="72" t="str">
        <f t="shared" si="24"/>
        <v/>
      </c>
      <c r="X101" s="83"/>
      <c r="Y101" s="73">
        <f t="shared" si="18"/>
        <v>0</v>
      </c>
      <c r="Z101" s="72">
        <f t="shared" si="19"/>
        <v>0</v>
      </c>
      <c r="AA101" s="72">
        <f t="shared" si="20"/>
        <v>0</v>
      </c>
    </row>
    <row r="102" spans="1:27" ht="18.75" customHeight="1" x14ac:dyDescent="0.3">
      <c r="A102" s="10" t="s">
        <v>186</v>
      </c>
      <c r="C102" s="12"/>
      <c r="D102" s="12"/>
      <c r="E102" s="53"/>
      <c r="F102" s="53"/>
      <c r="G102" s="53"/>
      <c r="H102" s="11"/>
      <c r="I102" s="12"/>
      <c r="J102" s="11"/>
      <c r="K102" s="13"/>
      <c r="L102" s="53"/>
      <c r="M102" s="13"/>
      <c r="N102" s="11"/>
      <c r="O102" s="13"/>
      <c r="P102" s="53"/>
      <c r="Q102" s="13"/>
      <c r="R102" s="11"/>
      <c r="S102" s="13"/>
      <c r="T102" s="53"/>
      <c r="U102" s="13"/>
      <c r="V102" s="11"/>
      <c r="W102" s="64"/>
      <c r="X102" s="84"/>
      <c r="Y102" s="15"/>
      <c r="Z102" s="14"/>
      <c r="AA102" s="14"/>
    </row>
    <row r="103" spans="1:27" ht="15.75" customHeight="1" x14ac:dyDescent="0.25">
      <c r="A103" s="57" t="s">
        <v>187</v>
      </c>
    </row>
    <row r="104" spans="1:27" x14ac:dyDescent="0.25">
      <c r="A104" s="82" t="s">
        <v>188</v>
      </c>
    </row>
    <row r="105" spans="1:27" x14ac:dyDescent="0.25">
      <c r="A105" s="82" t="s">
        <v>189</v>
      </c>
    </row>
  </sheetData>
  <dataValidations count="1">
    <dataValidation type="list" allowBlank="1" showInputMessage="1" showErrorMessage="1" sqref="D2:D101" xr:uid="{00000000-0002-0000-0100-000000000000}">
      <formula1>$AC$2:$AC$3</formula1>
    </dataValidation>
  </dataValidations>
  <pageMargins left="0.7" right="0.7" top="0.75" bottom="0.75" header="0.3" footer="0.3"/>
  <pageSetup orientation="portrait" horizontalDpi="4294967293"/>
  <legacyDrawing r:id="rId1"/>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O38"/>
  <sheetViews>
    <sheetView topLeftCell="A3" workbookViewId="0">
      <selection activeCell="B14" sqref="B14:I14"/>
    </sheetView>
  </sheetViews>
  <sheetFormatPr defaultRowHeight="15" x14ac:dyDescent="0.25"/>
  <cols>
    <col min="1" max="1" width="4" customWidth="1"/>
    <col min="2" max="2" width="21.140625" customWidth="1"/>
    <col min="3" max="3" width="15.85546875" style="25" customWidth="1"/>
    <col min="4" max="4" width="3.140625" customWidth="1"/>
    <col min="5" max="5" width="21" customWidth="1"/>
    <col min="6" max="6" width="15.85546875" style="25" customWidth="1"/>
    <col min="7" max="7" width="3.28515625" customWidth="1"/>
    <col min="8" max="8" width="20.140625" customWidth="1"/>
    <col min="9" max="9" width="16.42578125" style="25" customWidth="1"/>
    <col min="10" max="10" width="3.140625" customWidth="1"/>
    <col min="11" max="11" width="20" customWidth="1"/>
    <col min="12" max="12" width="15.85546875" style="25" customWidth="1"/>
    <col min="13" max="13" width="2.7109375" customWidth="1"/>
    <col min="14" max="14" width="20.85546875" customWidth="1"/>
    <col min="15" max="15" width="15.7109375" style="25" customWidth="1"/>
  </cols>
  <sheetData>
    <row r="1" spans="2:15" ht="15.75" customHeight="1" thickBot="1" x14ac:dyDescent="0.3"/>
    <row r="2" spans="2:15" s="26" customFormat="1" ht="18.75" customHeight="1" x14ac:dyDescent="0.3">
      <c r="B2" s="27" t="s">
        <v>190</v>
      </c>
      <c r="C2" s="28"/>
      <c r="D2" s="29"/>
      <c r="E2" s="27" t="s">
        <v>67</v>
      </c>
      <c r="F2" s="28"/>
      <c r="G2" s="29"/>
      <c r="H2" s="27" t="s">
        <v>86</v>
      </c>
      <c r="I2" s="28"/>
      <c r="J2" s="29"/>
      <c r="K2" s="27" t="s">
        <v>191</v>
      </c>
      <c r="L2" s="28"/>
      <c r="M2" s="29"/>
      <c r="N2" s="27" t="s">
        <v>192</v>
      </c>
      <c r="O2" s="28"/>
    </row>
    <row r="3" spans="2:15" ht="18.75" customHeight="1" x14ac:dyDescent="0.3">
      <c r="B3" s="30"/>
      <c r="C3" s="1"/>
      <c r="D3" s="31"/>
      <c r="E3" s="30"/>
      <c r="F3" s="1"/>
      <c r="G3" s="31"/>
      <c r="H3" s="30"/>
      <c r="I3" s="1"/>
      <c r="J3" s="31"/>
      <c r="K3" s="30"/>
      <c r="L3" s="1"/>
      <c r="M3" s="31"/>
      <c r="N3" s="30"/>
      <c r="O3" s="1"/>
    </row>
    <row r="4" spans="2:15" ht="18.75" customHeight="1" x14ac:dyDescent="0.3">
      <c r="B4" s="30" t="s">
        <v>193</v>
      </c>
      <c r="C4" s="1">
        <f>C5+C6</f>
        <v>30</v>
      </c>
      <c r="D4" s="31"/>
      <c r="E4" s="30" t="s">
        <v>193</v>
      </c>
      <c r="F4" s="1">
        <f>F5+F6</f>
        <v>25</v>
      </c>
      <c r="G4" s="31"/>
      <c r="H4" s="30" t="s">
        <v>193</v>
      </c>
      <c r="I4" s="1">
        <f t="array" ref="I4">SUMPRODUCT((ROW(TableLog[Symbol])-ROW(TableLog[#Headers])&gt;=26)*(ROW(TableLog[Symbol])-ROW(TableLog[#Headers])&lt;=50)*(TableLog[Symbol]&lt;&gt;""))</f>
        <v>5</v>
      </c>
      <c r="J4" s="31"/>
      <c r="K4" s="30" t="s">
        <v>193</v>
      </c>
      <c r="L4" s="1">
        <f>L5+L6</f>
        <v>0</v>
      </c>
      <c r="M4" s="31"/>
      <c r="N4" s="30" t="s">
        <v>193</v>
      </c>
      <c r="O4" s="1">
        <f>O5+O6</f>
        <v>0</v>
      </c>
    </row>
    <row r="5" spans="2:15" ht="18.75" customHeight="1" x14ac:dyDescent="0.3">
      <c r="B5" s="30" t="s">
        <v>194</v>
      </c>
      <c r="C5" s="1">
        <f>COUNTIF('Trade Log 2026'!W2:W101,"&gt;0")</f>
        <v>11</v>
      </c>
      <c r="D5" s="31"/>
      <c r="E5" s="30" t="s">
        <v>194</v>
      </c>
      <c r="F5" s="1">
        <f>COUNTIF('Trade Log 2026'!W2:W26,"&gt;0")</f>
        <v>9</v>
      </c>
      <c r="G5" s="31"/>
      <c r="H5" s="30" t="s">
        <v>194</v>
      </c>
      <c r="I5" s="1">
        <f>COUNTIF('Trade Log 2026'!W27:W51,"&gt;0")</f>
        <v>2</v>
      </c>
      <c r="J5" s="31"/>
      <c r="K5" s="30" t="s">
        <v>194</v>
      </c>
      <c r="L5" s="1">
        <f>COUNTIF('Trade Log 2026'!W52:W76,"&gt;0")</f>
        <v>0</v>
      </c>
      <c r="M5" s="31"/>
      <c r="N5" s="30" t="s">
        <v>194</v>
      </c>
      <c r="O5" s="1">
        <f>COUNTIF('Trade Log 2026'!W77:W101,"&gt;0")</f>
        <v>0</v>
      </c>
    </row>
    <row r="6" spans="2:15" ht="18.75" customHeight="1" x14ac:dyDescent="0.3">
      <c r="B6" s="30" t="s">
        <v>195</v>
      </c>
      <c r="C6" s="1">
        <f>COUNTIF('Trade Log 2026'!W2:W101,"&lt;0")</f>
        <v>19</v>
      </c>
      <c r="D6" s="31"/>
      <c r="E6" s="30" t="s">
        <v>195</v>
      </c>
      <c r="F6" s="1">
        <f>COUNTIF('Trade Log 2026'!W2:W26,"&lt;0")</f>
        <v>16</v>
      </c>
      <c r="G6" s="31"/>
      <c r="H6" s="30" t="s">
        <v>195</v>
      </c>
      <c r="I6" s="1">
        <f>COUNTIF('Trade Log 2026'!W27:W51,"&lt;0")</f>
        <v>3</v>
      </c>
      <c r="J6" s="31"/>
      <c r="K6" s="30" t="s">
        <v>195</v>
      </c>
      <c r="L6" s="1">
        <f>COUNTIF('Trade Log 2026'!W52:W76,"&lt;0")</f>
        <v>0</v>
      </c>
      <c r="M6" s="31"/>
      <c r="N6" s="30" t="s">
        <v>195</v>
      </c>
      <c r="O6" s="1">
        <f>COUNTIF('Trade Log 2026'!W77:W101,"&lt;0")</f>
        <v>0</v>
      </c>
    </row>
    <row r="7" spans="2:15" s="32" customFormat="1" ht="18.75" customHeight="1" x14ac:dyDescent="0.3">
      <c r="B7" s="33" t="s">
        <v>196</v>
      </c>
      <c r="C7" s="2">
        <f>IF(C5=0,"0",C5/C4)</f>
        <v>0.36666666666666664</v>
      </c>
      <c r="D7" s="34"/>
      <c r="E7" s="33" t="s">
        <v>196</v>
      </c>
      <c r="F7" s="2">
        <f>IF(F5=0,"0",F5/F4)</f>
        <v>0.36</v>
      </c>
      <c r="G7" s="34"/>
      <c r="H7" s="33" t="s">
        <v>196</v>
      </c>
      <c r="I7" s="2">
        <f>IF(I5=0,"0",I5/I4)</f>
        <v>0.4</v>
      </c>
      <c r="J7" s="34"/>
      <c r="K7" s="33" t="s">
        <v>196</v>
      </c>
      <c r="L7" s="2" t="str">
        <f>IF(L5=0,"0",L5/L4)</f>
        <v>0</v>
      </c>
      <c r="M7" s="34"/>
      <c r="N7" s="33" t="s">
        <v>196</v>
      </c>
      <c r="O7" s="2" t="str">
        <f>IF(O5=0,"0",O5/O4)</f>
        <v>0</v>
      </c>
    </row>
    <row r="8" spans="2:15" s="32" customFormat="1" ht="18.75" customHeight="1" x14ac:dyDescent="0.3">
      <c r="B8" s="33" t="s">
        <v>197</v>
      </c>
      <c r="C8" s="2">
        <f>IF(C6=0,"0",C6/C4)</f>
        <v>0.6333333333333333</v>
      </c>
      <c r="D8" s="34"/>
      <c r="E8" s="33" t="s">
        <v>197</v>
      </c>
      <c r="F8" s="2">
        <f>IF(F6=0,"0",F6/F4)</f>
        <v>0.64</v>
      </c>
      <c r="G8" s="34"/>
      <c r="H8" s="33" t="s">
        <v>197</v>
      </c>
      <c r="I8" s="2">
        <f>IF(I6=0,"0",I6/I4)</f>
        <v>0.6</v>
      </c>
      <c r="J8" s="34"/>
      <c r="K8" s="33" t="s">
        <v>197</v>
      </c>
      <c r="L8" s="2" t="str">
        <f>IF(L6=0,"0",L6/L4)</f>
        <v>0</v>
      </c>
      <c r="M8" s="34"/>
      <c r="N8" s="33" t="s">
        <v>197</v>
      </c>
      <c r="O8" s="2" t="str">
        <f>IF(O6=0,"0",O6/O4)</f>
        <v>0</v>
      </c>
    </row>
    <row r="9" spans="2:15" ht="18.75" customHeight="1" x14ac:dyDescent="0.3">
      <c r="B9" s="30" t="s">
        <v>198</v>
      </c>
      <c r="C9" s="3">
        <f>IF(C5=0,"0",C16/C5)</f>
        <v>472.70090909090908</v>
      </c>
      <c r="D9" s="35"/>
      <c r="E9" s="36" t="s">
        <v>198</v>
      </c>
      <c r="F9" s="3">
        <f>IF(F5=0,"0",F16/F5)</f>
        <v>507.63555555555558</v>
      </c>
      <c r="G9" s="35"/>
      <c r="H9" s="36" t="s">
        <v>198</v>
      </c>
      <c r="I9" s="3">
        <f>IF(I5=0,"0",I16/I5)</f>
        <v>315.49499999999995</v>
      </c>
      <c r="J9" s="35"/>
      <c r="K9" s="36" t="s">
        <v>198</v>
      </c>
      <c r="L9" s="3" t="str">
        <f>IF(L5=0,"0",L16/L5)</f>
        <v>0</v>
      </c>
      <c r="M9" s="35"/>
      <c r="N9" s="36" t="s">
        <v>198</v>
      </c>
      <c r="O9" s="3" t="str">
        <f>IF(O5=0,"0",O16/O5)</f>
        <v>0</v>
      </c>
    </row>
    <row r="10" spans="2:15" ht="18.75" customHeight="1" x14ac:dyDescent="0.3">
      <c r="B10" s="30" t="s">
        <v>199</v>
      </c>
      <c r="C10" s="3">
        <f>IF(C5=0,"0",C17/C6)</f>
        <v>-130.3242105263158</v>
      </c>
      <c r="D10" s="35"/>
      <c r="E10" s="36" t="s">
        <v>199</v>
      </c>
      <c r="F10" s="3">
        <f>IF(F6=0,"0",F17/F6)</f>
        <v>-147.03124999999997</v>
      </c>
      <c r="G10" s="35"/>
      <c r="H10" s="36" t="s">
        <v>199</v>
      </c>
      <c r="I10" s="3">
        <f>IF(I6=0,"0",I17/I6)</f>
        <v>-41.220000000000063</v>
      </c>
      <c r="J10" s="35"/>
      <c r="K10" s="36" t="s">
        <v>199</v>
      </c>
      <c r="L10" s="3" t="str">
        <f>IF(L6=0,"0",L17/L6)</f>
        <v>0</v>
      </c>
      <c r="M10" s="35"/>
      <c r="N10" s="36" t="s">
        <v>199</v>
      </c>
      <c r="O10" s="3" t="str">
        <f>IF(O6=0,"0",O17/O6)</f>
        <v>0</v>
      </c>
    </row>
    <row r="11" spans="2:15" ht="18.75" customHeight="1" x14ac:dyDescent="0.3">
      <c r="B11" s="30" t="s">
        <v>79</v>
      </c>
      <c r="C11" s="4">
        <f>IF(C5=0,"0",C9/-C10)</f>
        <v>3.6271150784792874</v>
      </c>
      <c r="D11" s="37"/>
      <c r="E11" s="38" t="s">
        <v>79</v>
      </c>
      <c r="F11" s="4">
        <f>IF(F5=0,"0",F9/-F10)</f>
        <v>3.4525691344904956</v>
      </c>
      <c r="G11" s="37"/>
      <c r="H11" s="38" t="s">
        <v>79</v>
      </c>
      <c r="I11" s="4">
        <f>IF(I5=0,"0",I9/-I10)</f>
        <v>7.6539301310043539</v>
      </c>
      <c r="J11" s="37"/>
      <c r="K11" s="38" t="s">
        <v>79</v>
      </c>
      <c r="L11" s="4" t="str">
        <f>IF(L5=0,"0",L9/-L10)</f>
        <v>0</v>
      </c>
      <c r="M11" s="37"/>
      <c r="N11" s="38" t="s">
        <v>79</v>
      </c>
      <c r="O11" s="4" t="str">
        <f>IF(O5=0,"0",O9/-O10)</f>
        <v>0</v>
      </c>
    </row>
    <row r="12" spans="2:15" s="32" customFormat="1" ht="18.75" customHeight="1" x14ac:dyDescent="0.3">
      <c r="B12" s="33" t="s">
        <v>200</v>
      </c>
      <c r="C12" s="2">
        <f>(C11*C7)-C8</f>
        <v>0.69660886210907202</v>
      </c>
      <c r="D12" s="34"/>
      <c r="E12" s="33" t="s">
        <v>200</v>
      </c>
      <c r="F12" s="2">
        <f>(F11*F7)-F8</f>
        <v>0.60292488841657843</v>
      </c>
      <c r="G12" s="34"/>
      <c r="H12" s="33" t="s">
        <v>200</v>
      </c>
      <c r="I12" s="2">
        <f>(I11*I7)-I8</f>
        <v>2.4615720524017415</v>
      </c>
      <c r="J12" s="34"/>
      <c r="K12" s="33" t="s">
        <v>200</v>
      </c>
      <c r="L12" s="2">
        <f>(L11*L7)-L8</f>
        <v>0</v>
      </c>
      <c r="M12" s="34"/>
      <c r="N12" s="33" t="s">
        <v>200</v>
      </c>
      <c r="O12" s="2">
        <f>(O11*O7)-O8</f>
        <v>0</v>
      </c>
    </row>
    <row r="13" spans="2:15" s="32" customFormat="1" ht="18.75" customHeight="1" x14ac:dyDescent="0.3">
      <c r="B13" s="33" t="s">
        <v>201</v>
      </c>
      <c r="C13" s="2">
        <f>IF(C12=0,"0",C7-(C8/C11))</f>
        <v>0.19205590311767384</v>
      </c>
      <c r="D13" s="34"/>
      <c r="E13" s="33" t="s">
        <v>201</v>
      </c>
      <c r="F13" s="2">
        <f>IF(F12=0,"0",F7-(F8/F11))</f>
        <v>0.17463079374529411</v>
      </c>
      <c r="G13" s="34"/>
      <c r="H13" s="33" t="s">
        <v>201</v>
      </c>
      <c r="I13" s="2">
        <f>IF(I12=0,"0",I7-(I8/I11))</f>
        <v>0.32160890029952921</v>
      </c>
      <c r="J13" s="34"/>
      <c r="K13" s="33" t="s">
        <v>201</v>
      </c>
      <c r="L13" s="2" t="str">
        <f>IF(L12=0,"0",L7-(L8/L11))</f>
        <v>0</v>
      </c>
      <c r="M13" s="34"/>
      <c r="N13" s="33" t="s">
        <v>201</v>
      </c>
      <c r="O13" s="2" t="str">
        <f>IF(O12=0,"0",O7-(O8/O11))</f>
        <v>0</v>
      </c>
    </row>
    <row r="14" spans="2:15" s="32" customFormat="1" ht="18.75" customHeight="1" x14ac:dyDescent="0.3">
      <c r="B14" s="33" t="s">
        <v>61</v>
      </c>
      <c r="C14" s="2">
        <f>C8/C7</f>
        <v>1.7272727272727273</v>
      </c>
      <c r="D14" s="34"/>
      <c r="E14" s="33" t="s">
        <v>61</v>
      </c>
      <c r="F14" s="2">
        <f>F8/F7</f>
        <v>1.7777777777777779</v>
      </c>
      <c r="G14" s="34"/>
      <c r="H14" s="33" t="s">
        <v>61</v>
      </c>
      <c r="I14" s="2">
        <f>I8/I7</f>
        <v>1.4999999999999998</v>
      </c>
      <c r="J14" s="34"/>
      <c r="K14" s="33" t="s">
        <v>61</v>
      </c>
      <c r="L14" s="2">
        <f>IF(OR(L7=0,L7="0"),0,L8/L7)</f>
        <v>0</v>
      </c>
      <c r="M14" s="34"/>
      <c r="N14" s="33" t="s">
        <v>61</v>
      </c>
      <c r="O14" s="2">
        <f>IF(OR(O7=0,O7="0"),0,O8/O7)</f>
        <v>0</v>
      </c>
    </row>
    <row r="15" spans="2:15" ht="18.75" customHeight="1" x14ac:dyDescent="0.3">
      <c r="B15" s="30"/>
      <c r="C15" s="1"/>
      <c r="D15" s="31"/>
      <c r="E15" s="30"/>
      <c r="F15" s="1"/>
      <c r="G15" s="31"/>
      <c r="H15" s="30"/>
      <c r="I15" s="1"/>
      <c r="J15" s="31"/>
      <c r="K15" s="30"/>
      <c r="L15" s="1"/>
      <c r="M15" s="31"/>
      <c r="N15" s="30"/>
      <c r="O15" s="1"/>
    </row>
    <row r="16" spans="2:15" ht="18.75" customHeight="1" x14ac:dyDescent="0.3">
      <c r="B16" s="30" t="s">
        <v>202</v>
      </c>
      <c r="C16" s="3">
        <f>SUMIF('Trade Log 2026'!W2:W101,"&gt;0")</f>
        <v>5199.71</v>
      </c>
      <c r="D16" s="35"/>
      <c r="E16" s="36" t="s">
        <v>202</v>
      </c>
      <c r="F16" s="3">
        <f>SUMIF('Trade Log 2026'!W2:W26,"&gt;0")</f>
        <v>4568.72</v>
      </c>
      <c r="G16" s="35"/>
      <c r="H16" s="36" t="s">
        <v>202</v>
      </c>
      <c r="I16" s="3">
        <f>SUMIF('Trade Log 2026'!W27:W51,"&gt;0")</f>
        <v>630.9899999999999</v>
      </c>
      <c r="J16" s="35"/>
      <c r="K16" s="36" t="s">
        <v>202</v>
      </c>
      <c r="L16" s="3">
        <f>SUMIF('Trade Log 2026'!W52:W76,"&gt;0")</f>
        <v>0</v>
      </c>
      <c r="M16" s="35"/>
      <c r="N16" s="36" t="s">
        <v>202</v>
      </c>
      <c r="O16" s="3">
        <f>SUMIF('Trade Log 2026'!W77:W101,"&gt;0")</f>
        <v>0</v>
      </c>
    </row>
    <row r="17" spans="2:15" ht="18.75" customHeight="1" x14ac:dyDescent="0.3">
      <c r="B17" s="30" t="s">
        <v>203</v>
      </c>
      <c r="C17" s="3">
        <f>SUMIF('Trade Log 2026'!W2:W101,"&lt;0")</f>
        <v>-2476.16</v>
      </c>
      <c r="D17" s="35"/>
      <c r="E17" s="36" t="s">
        <v>203</v>
      </c>
      <c r="F17" s="3">
        <f>SUMIF('Trade Log 2026'!W2:W26,"&lt;0")</f>
        <v>-2352.4999999999995</v>
      </c>
      <c r="G17" s="35"/>
      <c r="H17" s="36" t="s">
        <v>203</v>
      </c>
      <c r="I17" s="3">
        <f>SUMIF('Trade Log 2026'!W27:W51,"&lt;0")</f>
        <v>-123.66000000000018</v>
      </c>
      <c r="J17" s="35"/>
      <c r="K17" s="36" t="s">
        <v>203</v>
      </c>
      <c r="L17" s="3">
        <f>SUMIF('Trade Log 2026'!W52:W76,"&lt;0")</f>
        <v>0</v>
      </c>
      <c r="M17" s="35"/>
      <c r="N17" s="36" t="s">
        <v>203</v>
      </c>
      <c r="O17" s="3">
        <f>SUMIF('Trade Log 2026'!W77:W101,"&lt;0")</f>
        <v>0</v>
      </c>
    </row>
    <row r="18" spans="2:15" ht="19.5" customHeight="1" thickBot="1" x14ac:dyDescent="0.35">
      <c r="B18" s="39" t="s">
        <v>204</v>
      </c>
      <c r="C18" s="18">
        <f>C16+C17</f>
        <v>2723.55</v>
      </c>
      <c r="D18" s="35"/>
      <c r="E18" s="40" t="s">
        <v>204</v>
      </c>
      <c r="F18" s="18">
        <f>F16+F17</f>
        <v>2216.2200000000007</v>
      </c>
      <c r="G18" s="35"/>
      <c r="H18" s="40" t="s">
        <v>204</v>
      </c>
      <c r="I18" s="18">
        <f>I16+I17</f>
        <v>507.3299999999997</v>
      </c>
      <c r="J18" s="35"/>
      <c r="K18" s="40" t="s">
        <v>204</v>
      </c>
      <c r="L18" s="18">
        <f>L16+L17</f>
        <v>0</v>
      </c>
      <c r="M18" s="35"/>
      <c r="N18" s="40" t="s">
        <v>204</v>
      </c>
      <c r="O18" s="18">
        <f>O16+O17</f>
        <v>0</v>
      </c>
    </row>
    <row r="19" spans="2:15" ht="15.75" customHeight="1" thickBot="1" x14ac:dyDescent="0.3">
      <c r="B19" s="41"/>
      <c r="C19" s="42"/>
      <c r="E19" s="41"/>
      <c r="F19" s="42"/>
      <c r="H19" s="41"/>
      <c r="I19" s="42"/>
      <c r="K19" s="41"/>
      <c r="L19" s="42"/>
      <c r="N19" s="41"/>
      <c r="O19" s="42"/>
    </row>
    <row r="20" spans="2:15" ht="18.75" customHeight="1" x14ac:dyDescent="0.3">
      <c r="B20" s="43" t="s">
        <v>205</v>
      </c>
      <c r="C20" s="44"/>
      <c r="E20" s="43" t="s">
        <v>205</v>
      </c>
      <c r="F20" s="44"/>
      <c r="H20" s="43" t="s">
        <v>205</v>
      </c>
      <c r="I20" s="44"/>
      <c r="K20" s="43" t="s">
        <v>205</v>
      </c>
      <c r="L20" s="44"/>
      <c r="N20" s="43" t="s">
        <v>205</v>
      </c>
      <c r="O20" s="44"/>
    </row>
    <row r="21" spans="2:15" ht="15.75" customHeight="1" x14ac:dyDescent="0.25">
      <c r="B21" s="45"/>
      <c r="C21" s="19"/>
      <c r="E21" s="45"/>
      <c r="F21" s="46"/>
      <c r="H21" s="45"/>
      <c r="I21" s="46"/>
      <c r="K21" s="45"/>
      <c r="L21" s="46"/>
      <c r="N21" s="45"/>
      <c r="O21" s="46"/>
    </row>
    <row r="22" spans="2:15" ht="15.75" customHeight="1" x14ac:dyDescent="0.25">
      <c r="B22" s="47" t="s">
        <v>206</v>
      </c>
      <c r="C22" s="22">
        <f>IF(F22="","",AVERAGE(F22,I22,L22,O22))</f>
        <v>35000</v>
      </c>
      <c r="E22" s="47" t="s">
        <v>206</v>
      </c>
      <c r="F22" s="16">
        <v>35000</v>
      </c>
      <c r="H22" s="47" t="s">
        <v>206</v>
      </c>
      <c r="I22" s="16">
        <v>35000</v>
      </c>
      <c r="K22" s="47" t="s">
        <v>206</v>
      </c>
      <c r="L22" s="16">
        <v>35000</v>
      </c>
      <c r="N22" s="47" t="s">
        <v>206</v>
      </c>
      <c r="O22" s="16">
        <v>35000</v>
      </c>
    </row>
    <row r="23" spans="2:15" ht="15.75" customHeight="1" x14ac:dyDescent="0.25">
      <c r="B23" s="47" t="s">
        <v>207</v>
      </c>
      <c r="C23" s="21">
        <v>1.4999999999999999E-2</v>
      </c>
      <c r="E23" s="47" t="s">
        <v>207</v>
      </c>
      <c r="F23" s="17">
        <v>1.4999999999999999E-2</v>
      </c>
      <c r="H23" s="47" t="s">
        <v>207</v>
      </c>
      <c r="I23" s="17">
        <v>1.4999999999999999E-2</v>
      </c>
      <c r="K23" s="47" t="s">
        <v>207</v>
      </c>
      <c r="L23" s="17">
        <v>1.4999999999999999E-2</v>
      </c>
      <c r="N23" s="47" t="s">
        <v>207</v>
      </c>
      <c r="O23" s="17">
        <v>1.4999999999999999E-2</v>
      </c>
    </row>
    <row r="24" spans="2:15" ht="15.75" customHeight="1" x14ac:dyDescent="0.25">
      <c r="B24" s="47" t="s">
        <v>208</v>
      </c>
      <c r="C24" s="20">
        <f>AVERAGE(F24,I24,L24,O24)</f>
        <v>525</v>
      </c>
      <c r="E24" s="47" t="s">
        <v>208</v>
      </c>
      <c r="F24" s="22">
        <f>IF(F22="","",F22*F23)</f>
        <v>525</v>
      </c>
      <c r="H24" s="47" t="s">
        <v>208</v>
      </c>
      <c r="I24" s="22">
        <f>IF(I22="","",I22*I23)</f>
        <v>525</v>
      </c>
      <c r="K24" s="47" t="s">
        <v>208</v>
      </c>
      <c r="L24" s="22">
        <f>IF(L22="","",L22*L23)</f>
        <v>525</v>
      </c>
      <c r="N24" s="47" t="s">
        <v>208</v>
      </c>
      <c r="O24" s="22">
        <f>IF(O22="","",O22*O23)</f>
        <v>525</v>
      </c>
    </row>
    <row r="25" spans="2:15" ht="15.75" customHeight="1" x14ac:dyDescent="0.25">
      <c r="B25" s="47" t="s">
        <v>209</v>
      </c>
      <c r="C25" s="21">
        <f>IFERROR(IF(F25=0,F25,IF(I25=0,F25,IF(L25=0,AVERAGE(F25,I25),IF(O25=0,AVERAGE(F25,I25,L25),AVERAGE(F25,I25,L25,O25))))),0)</f>
        <v>0.17928690476190479</v>
      </c>
      <c r="E25" s="47" t="s">
        <v>209</v>
      </c>
      <c r="F25" s="21">
        <f>IF(F6=0,0,F10/F24*-1)</f>
        <v>0.28005952380952376</v>
      </c>
      <c r="H25" s="47" t="s">
        <v>209</v>
      </c>
      <c r="I25" s="21">
        <f>IF(OR(I6=0,I24="",I24=0),0,I10/I24*-1)</f>
        <v>7.8514285714285828E-2</v>
      </c>
      <c r="K25" s="47" t="s">
        <v>209</v>
      </c>
      <c r="L25" s="21">
        <f>IF(OR(L6=0,L24="",L24=0),0,L10/L24*-1)</f>
        <v>0</v>
      </c>
      <c r="N25" s="47" t="s">
        <v>209</v>
      </c>
      <c r="O25" s="21">
        <f>IF(OR(O6=0,O24="",O24=0),0,O10/O24*-1)</f>
        <v>0</v>
      </c>
    </row>
    <row r="26" spans="2:15" ht="15.75" customHeight="1" x14ac:dyDescent="0.25">
      <c r="B26" s="47" t="s">
        <v>210</v>
      </c>
      <c r="C26" s="54">
        <f>IF(C5=0,0,AVERAGEIF('Trade Log 2026'!W2:W101,"&gt;0",('Trade Log 2026'!U2:U101)))</f>
        <v>3.0909090909090908</v>
      </c>
      <c r="E26" s="47" t="s">
        <v>210</v>
      </c>
      <c r="F26" s="54">
        <f>IF(F5=0,0,AVERAGEIF('Trade Log 2026'!W2:W26,"&gt;0",('Trade Log 2026'!U2:U26)))</f>
        <v>2</v>
      </c>
      <c r="H26" s="47" t="s">
        <v>210</v>
      </c>
      <c r="I26" s="54">
        <f>IF(I4=0,0,AVERAGEIF('Trade Log 2026'!W27:W51,"&gt;0",('Trade Log 2026'!U27:U51)))</f>
        <v>8</v>
      </c>
      <c r="K26" s="47" t="s">
        <v>210</v>
      </c>
      <c r="L26" s="54">
        <f>IF(L4=0,0,AVERAGEIF('Trade Log 2026'!W52:W76,"&gt;0",('Trade Log 2026'!U52:U76)))</f>
        <v>0</v>
      </c>
      <c r="N26" s="47" t="s">
        <v>210</v>
      </c>
      <c r="O26" s="54">
        <f>IF(O4=0,0,AVERAGEIF('Trade Log 2026'!W77:W101,"&gt;0",('Trade Log 2026'!U77:U101)))</f>
        <v>0</v>
      </c>
    </row>
    <row r="27" spans="2:15" ht="15.75" customHeight="1" x14ac:dyDescent="0.25">
      <c r="B27" s="47" t="s">
        <v>211</v>
      </c>
      <c r="C27" s="54">
        <f>IF(C6=0,F27,AVERAGEIF('Trade Log 2026'!W2:W101,"&lt;0",('Trade Log 2026'!U2:U101)))</f>
        <v>1.125</v>
      </c>
      <c r="E27" s="47" t="s">
        <v>211</v>
      </c>
      <c r="F27" s="54">
        <f>IF(F6=0,F6,AVERAGEIF('Trade Log 2026'!W2:W26,"&lt;0",('Trade Log 2026'!U2:U26)))</f>
        <v>1.2857142857142858</v>
      </c>
      <c r="H27" s="47" t="s">
        <v>211</v>
      </c>
      <c r="I27" s="54">
        <f>IF(I6=0,0,AVERAGEIF('Trade Log 2026'!W27:W51,"&lt;0",('Trade Log 2026'!U27:U51)))</f>
        <v>0</v>
      </c>
      <c r="K27" s="47" t="s">
        <v>211</v>
      </c>
      <c r="L27" s="54">
        <f>IF(L6=0,0,AVERAGEIF('Trade Log 2026'!W52:W76,"&lt;0",('Trade Log 2026'!U52:U76)))</f>
        <v>0</v>
      </c>
      <c r="N27" s="47" t="s">
        <v>211</v>
      </c>
      <c r="O27" s="54">
        <f>IF(O6=0,0,AVERAGEIF('Trade Log 2026'!W77:W101,"&lt;0",('Trade Log 2026'!U77:U101)))</f>
        <v>0</v>
      </c>
    </row>
    <row r="28" spans="2:15" ht="15.75" customHeight="1" x14ac:dyDescent="0.25">
      <c r="B28" s="47" t="s">
        <v>212</v>
      </c>
      <c r="C28" s="54">
        <f>IF(C4=0,0,AVERAGE('Trade Log 2026'!U2:U101))</f>
        <v>1.9259259259259258</v>
      </c>
      <c r="E28" s="47" t="s">
        <v>212</v>
      </c>
      <c r="F28" s="54">
        <f>IF(F4=0,0,AVERAGE('Trade Log 2026'!U2:U26))</f>
        <v>1.5652173913043479</v>
      </c>
      <c r="H28" s="47" t="s">
        <v>212</v>
      </c>
      <c r="I28" s="54">
        <f t="array" ref="I28">IF(OR(I4=0, I4=""), "", IFERROR(ROUND(AVERAGE(_xlfn._xlws.FILTER(INDEX(TableLog[],,17), (ROW(TableLog[Symbol])-ROW(TableLog[#Headers])&gt;=26)*(ROW(TableLog[Symbol])-ROW(TableLog[#Headers])&lt;=50)*ISNUMBER(INDEX(TableLog[],,17)))), 2), ""))</f>
        <v>4</v>
      </c>
      <c r="K28" s="47" t="s">
        <v>212</v>
      </c>
      <c r="L28" s="54">
        <f>IF(L4=0,0,AVERAGE('Trade Log 2026'!U52:U76))</f>
        <v>0</v>
      </c>
      <c r="N28" s="47" t="s">
        <v>212</v>
      </c>
      <c r="O28" s="54">
        <f>IF(O4=0,0,AVERAGE('Trade Log 2026'!U77:U101))</f>
        <v>0</v>
      </c>
    </row>
    <row r="29" spans="2:15" ht="15.75" customHeight="1" x14ac:dyDescent="0.25">
      <c r="B29" s="47" t="s">
        <v>213</v>
      </c>
      <c r="C29" s="21">
        <f>IF(C4=0,0,C18/C22)</f>
        <v>7.7815714285714294E-2</v>
      </c>
      <c r="E29" s="47" t="s">
        <v>213</v>
      </c>
      <c r="F29" s="21">
        <f>IF(F4=0,0,F18/F22)</f>
        <v>6.3320571428571448E-2</v>
      </c>
      <c r="H29" s="47" t="s">
        <v>213</v>
      </c>
      <c r="I29" s="21">
        <f>IF(OR(I4=0,I22="",I22=0),0,I18/I22)</f>
        <v>1.4495142857142849E-2</v>
      </c>
      <c r="K29" s="47" t="s">
        <v>213</v>
      </c>
      <c r="L29" s="21">
        <f>IF(OR(L4=0,L22="",L22=0),0,L18/L22)</f>
        <v>0</v>
      </c>
      <c r="N29" s="47" t="s">
        <v>213</v>
      </c>
      <c r="O29" s="21">
        <f>IF(OR(O4=0,O22="",O22=0),0,O18/O22)</f>
        <v>0</v>
      </c>
    </row>
    <row r="30" spans="2:15" ht="15.75" customHeight="1" x14ac:dyDescent="0.25">
      <c r="B30" s="47" t="s">
        <v>214</v>
      </c>
      <c r="C30" s="23">
        <f>IF('Trade Log 2026'!G2="","",'Trade Log 2026'!G2)</f>
        <v>46071</v>
      </c>
      <c r="D30" s="48"/>
      <c r="E30" s="49" t="s">
        <v>214</v>
      </c>
      <c r="F30" s="23">
        <f>IF('Trade Log 2026'!G2="","",'Trade Log 2026'!G2)</f>
        <v>46071</v>
      </c>
      <c r="G30" s="48"/>
      <c r="H30" s="49" t="s">
        <v>214</v>
      </c>
      <c r="I30" s="23">
        <f>IF('Trade Log 2026'!G27="","",'Trade Log 2026'!G27)</f>
        <v>46058</v>
      </c>
      <c r="J30" s="48"/>
      <c r="K30" s="49" t="s">
        <v>214</v>
      </c>
      <c r="L30" s="23" t="str">
        <f>IF('Trade Log 2026'!G52="","",'Trade Log 2026'!G52)</f>
        <v/>
      </c>
      <c r="M30" s="48"/>
      <c r="N30" s="49" t="s">
        <v>214</v>
      </c>
      <c r="O30" s="23" t="str">
        <f>IF('Trade Log 2026'!G77="","",'Trade Log 2026'!G77)</f>
        <v/>
      </c>
    </row>
    <row r="31" spans="2:15" ht="16.5" customHeight="1" thickBot="1" x14ac:dyDescent="0.3">
      <c r="B31" s="50" t="s">
        <v>215</v>
      </c>
      <c r="C31" s="24" t="str">
        <f>IF('Trade Log 2026'!L101="","Last 101 Trade",'Trade Log 2026'!L101)</f>
        <v>Last 101 Trade</v>
      </c>
      <c r="D31" s="48"/>
      <c r="E31" s="51" t="s">
        <v>215</v>
      </c>
      <c r="F31" s="24">
        <f>IF('Trade Log 2026'!L26="","",IF('Trade Log 2026'!P26="",'Trade Log 2026'!L26,IF('Trade Log 2026'!T26="",'Trade Log 2026'!P26,'Trade Log 2026'!T26)))</f>
        <v>46052</v>
      </c>
      <c r="G31" s="48"/>
      <c r="H31" s="51" t="s">
        <v>215</v>
      </c>
      <c r="I31" s="24" t="str">
        <f>IF('Trade Log 2026'!L51="","",IF('Trade Log 2026'!P51="",'Trade Log 2026'!L51,IF('Trade Log 2026'!T51="",'Trade Log 2026'!P51,'Trade Log 2026'!T51)))</f>
        <v/>
      </c>
      <c r="J31" s="48"/>
      <c r="K31" s="51" t="s">
        <v>215</v>
      </c>
      <c r="L31" s="24" t="str">
        <f>IF('Trade Log 2026'!L76="","",IF('Trade Log 2026'!P76="",'Trade Log 2026'!L76,IF('Trade Log 2026'!T76="",'Trade Log 2026'!P76,'Trade Log 2026'!T76)))</f>
        <v/>
      </c>
      <c r="M31" s="48"/>
      <c r="N31" s="51" t="s">
        <v>215</v>
      </c>
      <c r="O31" s="24" t="str">
        <f>IF('Trade Log 2026'!L101="","",IF('Trade Log 2026'!P101="",'Trade Log 2026'!L101,IF('Trade Log 2026'!T101="",'Trade Log 2026'!P101,'Trade Log 2026'!T101)))</f>
        <v/>
      </c>
    </row>
    <row r="33" spans="2:2" ht="15.75" customHeight="1" x14ac:dyDescent="0.25">
      <c r="B33" s="57" t="s">
        <v>216</v>
      </c>
    </row>
    <row r="35" spans="2:2" ht="15.75" customHeight="1" x14ac:dyDescent="0.25">
      <c r="B35" s="57" t="s">
        <v>217</v>
      </c>
    </row>
    <row r="36" spans="2:2" x14ac:dyDescent="0.25">
      <c r="B36" t="s">
        <v>218</v>
      </c>
    </row>
    <row r="37" spans="2:2" ht="15.75" customHeight="1" x14ac:dyDescent="0.25">
      <c r="B37" s="57" t="s">
        <v>219</v>
      </c>
    </row>
    <row r="38" spans="2:2" ht="15.75" customHeight="1" x14ac:dyDescent="0.25">
      <c r="B38" s="57" t="s">
        <v>220</v>
      </c>
    </row>
  </sheetData>
  <pageMargins left="0.7" right="0.7" top="0.75" bottom="0.75" header="0.3" footer="0.3"/>
  <pageSetup orientation="portrait" horizontalDpi="429496729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Claude Log</vt:lpstr>
      <vt:lpstr>Trade Log 2026</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BSD Enterprises</dc:creator>
  <cp:lastModifiedBy>Anthony Zoppi</cp:lastModifiedBy>
  <dcterms:created xsi:type="dcterms:W3CDTF">2012-05-31T16:29:20Z</dcterms:created>
  <dcterms:modified xsi:type="dcterms:W3CDTF">2026-02-24T15:33:32Z</dcterms:modified>
</cp:coreProperties>
</file>